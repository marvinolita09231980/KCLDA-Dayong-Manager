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INFO" sheetId="1" r:id="rId5"/>
    <sheet state="visible" name="17822-OLFP" sheetId="2" r:id="rId6"/>
    <sheet state="visible" name="8814-CKC" sheetId="3" r:id="rId7"/>
    <sheet state="visible" name="9826-BSK" sheetId="4" r:id="rId8"/>
    <sheet state="visible" name="18109-OLAQP" sheetId="5" r:id="rId9"/>
    <sheet state="visible" name="17825-PCEK" sheetId="6" r:id="rId10"/>
    <sheet state="visible" name="17817" sheetId="7" r:id="rId11"/>
    <sheet state="visible" name="FUNDS" sheetId="8" r:id="rId12"/>
  </sheets>
  <definedNames>
    <definedName hidden="1" localSheetId="0" name="_xlnm._FilterDatabase">MEMBERINFO!$A$2:$V$129</definedName>
    <definedName hidden="1" localSheetId="1" name="_xlnm._FilterDatabase">'17822-OLFP'!$B$4:$R$71</definedName>
    <definedName hidden="1" localSheetId="2" name="_xlnm._FilterDatabase">'8814-CKC'!$A$4:$Z$228</definedName>
    <definedName hidden="1" localSheetId="3" name="_xlnm._FilterDatabase">'9826-BSK'!$A$4:$AC$21</definedName>
    <definedName hidden="1" localSheetId="4" name="_xlnm._FilterDatabase">'18109-OLAQP'!$A$4:$AC$19</definedName>
    <definedName hidden="1" localSheetId="5" name="_xlnm._FilterDatabase">'17825-PCEK'!$A$4:$AC$13</definedName>
    <definedName hidden="1" localSheetId="6" name="_xlnm._FilterDatabase">'17817'!$A$4:$AC$13</definedName>
  </definedNames>
  <calcPr/>
</workbook>
</file>

<file path=xl/sharedStrings.xml><?xml version="1.0" encoding="utf-8"?>
<sst xmlns="http://schemas.openxmlformats.org/spreadsheetml/2006/main" count="940" uniqueCount="300">
  <si>
    <t>No.</t>
  </si>
  <si>
    <t xml:space="preserve">ANNUAL DUES - 100 </t>
  </si>
  <si>
    <t>LAST NAME</t>
  </si>
  <si>
    <t>FIRST NAME</t>
  </si>
  <si>
    <t>MIDDLE NAME</t>
  </si>
  <si>
    <t>ADDRESS</t>
  </si>
  <si>
    <t>BIRTHDATE</t>
  </si>
  <si>
    <t>COUNCIL</t>
  </si>
  <si>
    <t>CONTRIBUTION  200 - Felix Magalona</t>
  </si>
  <si>
    <t>DATE OF PAYMENT</t>
  </si>
  <si>
    <t>2025 Annual Dues</t>
  </si>
  <si>
    <t>DATE</t>
  </si>
  <si>
    <t>2026 - 2nd Cycle</t>
  </si>
  <si>
    <t>CLAIMED - SK Felix Magalona</t>
  </si>
  <si>
    <t>BIRTH DATE</t>
  </si>
  <si>
    <t>Torrejos</t>
  </si>
  <si>
    <t>Eric</t>
  </si>
  <si>
    <t>2nd rounds Collection</t>
  </si>
  <si>
    <t>CY - 2025 Annual Dues</t>
  </si>
  <si>
    <t>2nd Rounds Collection</t>
  </si>
  <si>
    <t>CY - 2026 Annual Due</t>
  </si>
  <si>
    <t>Pamelar</t>
  </si>
  <si>
    <t>Louie</t>
  </si>
  <si>
    <t>Lugo</t>
  </si>
  <si>
    <t>Arsenio</t>
  </si>
  <si>
    <t>Mejares</t>
  </si>
  <si>
    <t>Pedilito</t>
  </si>
  <si>
    <t>Ronquillo</t>
  </si>
  <si>
    <t>Bonifacio</t>
  </si>
  <si>
    <t>Galimba</t>
  </si>
  <si>
    <t>Alfredo</t>
  </si>
  <si>
    <t xml:space="preserve">DATE </t>
  </si>
  <si>
    <t>AMOUNT</t>
  </si>
  <si>
    <t>Epifanio</t>
  </si>
  <si>
    <t>Rule</t>
  </si>
  <si>
    <t>Francisco</t>
  </si>
  <si>
    <t>Marcelo</t>
  </si>
  <si>
    <t>Mijares</t>
  </si>
  <si>
    <t>Hermenigildo</t>
  </si>
  <si>
    <t>Bayudan</t>
  </si>
  <si>
    <t>Bong</t>
  </si>
  <si>
    <t>Corpuz</t>
  </si>
  <si>
    <t>Ralph Allen</t>
  </si>
  <si>
    <t xml:space="preserve">  </t>
  </si>
  <si>
    <t>Lambojon</t>
  </si>
  <si>
    <t>Pat</t>
  </si>
  <si>
    <t>Andrin</t>
  </si>
  <si>
    <t>Ednie</t>
  </si>
  <si>
    <t>8814 CKC</t>
  </si>
  <si>
    <t>Manliguez</t>
  </si>
  <si>
    <t>Senecio</t>
  </si>
  <si>
    <t xml:space="preserve">Abarico </t>
  </si>
  <si>
    <t xml:space="preserve">Wilfredo </t>
  </si>
  <si>
    <t>A</t>
  </si>
  <si>
    <t>Saliente</t>
  </si>
  <si>
    <t>Baldomera</t>
  </si>
  <si>
    <t>17822-OLFP</t>
  </si>
  <si>
    <t>Andrino</t>
  </si>
  <si>
    <t>Jaime</t>
  </si>
  <si>
    <t>Ma. Gina</t>
  </si>
  <si>
    <t>Jagonos</t>
  </si>
  <si>
    <t>Demetrio</t>
  </si>
  <si>
    <t>Bermudez</t>
  </si>
  <si>
    <t>Manon-og</t>
  </si>
  <si>
    <t>Antonio</t>
  </si>
  <si>
    <t>Ardientes</t>
  </si>
  <si>
    <t>Arnel</t>
  </si>
  <si>
    <t>Mandos</t>
  </si>
  <si>
    <t>Ernesto</t>
  </si>
  <si>
    <t>Borja</t>
  </si>
  <si>
    <t>Eustacio</t>
  </si>
  <si>
    <t>Dago</t>
  </si>
  <si>
    <t>Jeno</t>
  </si>
  <si>
    <t>Audencia</t>
  </si>
  <si>
    <t>Josephine</t>
  </si>
  <si>
    <t>Pormento</t>
  </si>
  <si>
    <t>Canillas</t>
  </si>
  <si>
    <t>Richard</t>
  </si>
  <si>
    <t>Joel</t>
  </si>
  <si>
    <t>Bayron</t>
  </si>
  <si>
    <t>Hilarion</t>
  </si>
  <si>
    <t xml:space="preserve">BJ </t>
  </si>
  <si>
    <t>C</t>
  </si>
  <si>
    <t>Sallente</t>
  </si>
  <si>
    <t>Reynaldo</t>
  </si>
  <si>
    <t>Betoca</t>
  </si>
  <si>
    <t>Glein</t>
  </si>
  <si>
    <t>Grace</t>
  </si>
  <si>
    <t>Bea</t>
  </si>
  <si>
    <t>Analyn</t>
  </si>
  <si>
    <t>Edilito</t>
  </si>
  <si>
    <t>Gypsy Jude</t>
  </si>
  <si>
    <t xml:space="preserve">Belle </t>
  </si>
  <si>
    <t>Evelyn</t>
  </si>
  <si>
    <t>Audiencia</t>
  </si>
  <si>
    <t>Brendo</t>
  </si>
  <si>
    <t>17822 OLFP</t>
  </si>
  <si>
    <t xml:space="preserve">Veriana </t>
  </si>
  <si>
    <t>Ayag</t>
  </si>
  <si>
    <t>Joseph</t>
  </si>
  <si>
    <t>Cayetano</t>
  </si>
  <si>
    <t>Barcena</t>
  </si>
  <si>
    <t>Celso</t>
  </si>
  <si>
    <t>Leoncio</t>
  </si>
  <si>
    <t>Alba</t>
  </si>
  <si>
    <t xml:space="preserve">Avenido </t>
  </si>
  <si>
    <t xml:space="preserve">Joselito </t>
  </si>
  <si>
    <t>S.</t>
  </si>
  <si>
    <t>Cabug</t>
  </si>
  <si>
    <t>Ronel</t>
  </si>
  <si>
    <t>Os</t>
  </si>
  <si>
    <t>Cahayag</t>
  </si>
  <si>
    <t>Cequina</t>
  </si>
  <si>
    <t>Romeo</t>
  </si>
  <si>
    <t>Alan</t>
  </si>
  <si>
    <t>Cañete</t>
  </si>
  <si>
    <t>Olegario</t>
  </si>
  <si>
    <t>Ceres</t>
  </si>
  <si>
    <t>Cosmod</t>
  </si>
  <si>
    <t>Renato</t>
  </si>
  <si>
    <t>Cequiña</t>
  </si>
  <si>
    <t>G.</t>
  </si>
  <si>
    <t>Marivic</t>
  </si>
  <si>
    <t>Cuizon</t>
  </si>
  <si>
    <t>Christopher</t>
  </si>
  <si>
    <t>Dalupan</t>
  </si>
  <si>
    <t>Isidro</t>
  </si>
  <si>
    <t>Pagsubiron</t>
  </si>
  <si>
    <t xml:space="preserve">Cero </t>
  </si>
  <si>
    <t>Leocadia</t>
  </si>
  <si>
    <t>Wilfredo</t>
  </si>
  <si>
    <t>Español</t>
  </si>
  <si>
    <t>Rodolfo</t>
  </si>
  <si>
    <t>Estigoy</t>
  </si>
  <si>
    <t>Wenie Fredo</t>
  </si>
  <si>
    <t>Conti</t>
  </si>
  <si>
    <t>Heraldo</t>
  </si>
  <si>
    <t>Regnare</t>
  </si>
  <si>
    <t>Idagdag</t>
  </si>
  <si>
    <t>Lagumbay</t>
  </si>
  <si>
    <t>Coro</t>
  </si>
  <si>
    <t xml:space="preserve">Cortez, Mark </t>
  </si>
  <si>
    <t>Mark John</t>
  </si>
  <si>
    <t>Rulida</t>
  </si>
  <si>
    <t>Bobby</t>
  </si>
  <si>
    <t xml:space="preserve">Francisco </t>
  </si>
  <si>
    <t>Aringo</t>
  </si>
  <si>
    <t>Cortez, Markjohn</t>
  </si>
  <si>
    <t>Markjohn</t>
  </si>
  <si>
    <t xml:space="preserve">Belec </t>
  </si>
  <si>
    <t>De Leon</t>
  </si>
  <si>
    <t>Rogelio</t>
  </si>
  <si>
    <t>Caños</t>
  </si>
  <si>
    <t>Edgar</t>
  </si>
  <si>
    <t xml:space="preserve">Dimaligalig </t>
  </si>
  <si>
    <t>B</t>
  </si>
  <si>
    <t>Pablito</t>
  </si>
  <si>
    <t>Vergara</t>
  </si>
  <si>
    <t>Marilyn</t>
  </si>
  <si>
    <t>Carpesano Jr.</t>
  </si>
  <si>
    <t>P</t>
  </si>
  <si>
    <t>Eliot</t>
  </si>
  <si>
    <t>Enting</t>
  </si>
  <si>
    <t>Eduarte</t>
  </si>
  <si>
    <t xml:space="preserve">Emmanuel </t>
  </si>
  <si>
    <t>G</t>
  </si>
  <si>
    <t>Generale</t>
  </si>
  <si>
    <t>S</t>
  </si>
  <si>
    <t>Eliot S.</t>
  </si>
  <si>
    <t>Ronald</t>
  </si>
  <si>
    <t>Marcelina</t>
  </si>
  <si>
    <t xml:space="preserve">Lagang </t>
  </si>
  <si>
    <t>Estrada</t>
  </si>
  <si>
    <t>Syron</t>
  </si>
  <si>
    <t xml:space="preserve">Magbago </t>
  </si>
  <si>
    <t xml:space="preserve">Kim Francis </t>
  </si>
  <si>
    <t>Osorio</t>
  </si>
  <si>
    <t>Armando</t>
  </si>
  <si>
    <t>M</t>
  </si>
  <si>
    <t xml:space="preserve">Palo </t>
  </si>
  <si>
    <t>Edmar</t>
  </si>
  <si>
    <t>Fuentes</t>
  </si>
  <si>
    <t>I</t>
  </si>
  <si>
    <t>Ronald Victoriano</t>
  </si>
  <si>
    <t xml:space="preserve">Reyes </t>
  </si>
  <si>
    <t>Benedicto</t>
  </si>
  <si>
    <t>D.</t>
  </si>
  <si>
    <t>Vocales</t>
  </si>
  <si>
    <t>Ramil Carlo</t>
  </si>
  <si>
    <t>M.</t>
  </si>
  <si>
    <t>Walter</t>
  </si>
  <si>
    <t xml:space="preserve">Ramon </t>
  </si>
  <si>
    <t>F</t>
  </si>
  <si>
    <t xml:space="preserve">Juliet </t>
  </si>
  <si>
    <t>Wife of SK Ronald Fuentes</t>
  </si>
  <si>
    <t>Dela Cruz</t>
  </si>
  <si>
    <t xml:space="preserve">Ronald Rey </t>
  </si>
  <si>
    <t xml:space="preserve">Vernie </t>
  </si>
  <si>
    <t>Garbo</t>
  </si>
  <si>
    <t>Oliver</t>
  </si>
  <si>
    <t>c</t>
  </si>
  <si>
    <t xml:space="preserve">Jewis </t>
  </si>
  <si>
    <t xml:space="preserve">Lawag </t>
  </si>
  <si>
    <t>Jovan</t>
  </si>
  <si>
    <t>Ronald Julia</t>
  </si>
  <si>
    <t>Malaya</t>
  </si>
  <si>
    <t xml:space="preserve">Rey </t>
  </si>
  <si>
    <t>E</t>
  </si>
  <si>
    <t>Panimdim</t>
  </si>
  <si>
    <t>Toralde</t>
  </si>
  <si>
    <t>Genzalita</t>
  </si>
  <si>
    <t xml:space="preserve">Larry </t>
  </si>
  <si>
    <t>Gabriento</t>
  </si>
  <si>
    <t>Felix</t>
  </si>
  <si>
    <t>17824 OLFP</t>
  </si>
  <si>
    <t>17825 PCEK</t>
  </si>
  <si>
    <t>Gaspan</t>
  </si>
  <si>
    <t>Leonardo</t>
  </si>
  <si>
    <t>Feria</t>
  </si>
  <si>
    <t>Rodrigo</t>
  </si>
  <si>
    <t>Gaspan, khelly</t>
  </si>
  <si>
    <t>Kelly</t>
  </si>
  <si>
    <t>Lanos</t>
  </si>
  <si>
    <t xml:space="preserve">Sarx </t>
  </si>
  <si>
    <t>Parecto</t>
  </si>
  <si>
    <t>Mike</t>
  </si>
  <si>
    <t>Lacaba</t>
  </si>
  <si>
    <t>Sustines</t>
  </si>
  <si>
    <t>Potot</t>
  </si>
  <si>
    <t>Jeffrey</t>
  </si>
  <si>
    <t>Buar</t>
  </si>
  <si>
    <t>Raneses</t>
  </si>
  <si>
    <t>Pedro</t>
  </si>
  <si>
    <t>Alupit</t>
  </si>
  <si>
    <t>Lo</t>
  </si>
  <si>
    <t>Emma</t>
  </si>
  <si>
    <t>Macario</t>
  </si>
  <si>
    <t>Mark Andre</t>
  </si>
  <si>
    <t>Magalona</t>
  </si>
  <si>
    <t>Lucia</t>
  </si>
  <si>
    <t>Joseph Ian</t>
  </si>
  <si>
    <t>Joseph Gem</t>
  </si>
  <si>
    <t>uxc</t>
  </si>
  <si>
    <t>Magalona-Tupaz</t>
  </si>
  <si>
    <t xml:space="preserve">Chirtsine </t>
  </si>
  <si>
    <t>Mallorca</t>
  </si>
  <si>
    <t>Danny</t>
  </si>
  <si>
    <t>Nanual</t>
  </si>
  <si>
    <t>Glenn</t>
  </si>
  <si>
    <t>de Leon, Joel</t>
  </si>
  <si>
    <t>Olita</t>
  </si>
  <si>
    <t>Marvin</t>
  </si>
  <si>
    <t>Mariveles</t>
  </si>
  <si>
    <t>Sunshine 2, Visayan Village Tagum City</t>
  </si>
  <si>
    <t>de Leon, Rogelio</t>
  </si>
  <si>
    <t>Omega</t>
  </si>
  <si>
    <t>Albert</t>
  </si>
  <si>
    <t>Ozoa</t>
  </si>
  <si>
    <t>Jerome</t>
  </si>
  <si>
    <t>Palay</t>
  </si>
  <si>
    <t xml:space="preserve">Romel </t>
  </si>
  <si>
    <t>Fernandez</t>
  </si>
  <si>
    <t>Quino</t>
  </si>
  <si>
    <t>Romilo</t>
  </si>
  <si>
    <t>Rapista</t>
  </si>
  <si>
    <t>Reinaries</t>
  </si>
  <si>
    <t>Lauron</t>
  </si>
  <si>
    <t>Sator</t>
  </si>
  <si>
    <t>Jan Allen</t>
  </si>
  <si>
    <t>Jan Dimitri</t>
  </si>
  <si>
    <t>Sulde</t>
  </si>
  <si>
    <t>Eduardo</t>
  </si>
  <si>
    <t>Torregosa</t>
  </si>
  <si>
    <t>Charlie</t>
  </si>
  <si>
    <t>L.</t>
  </si>
  <si>
    <t xml:space="preserve">Torregosa </t>
  </si>
  <si>
    <t>Espelita</t>
  </si>
  <si>
    <t>Jeraldine Gay</t>
  </si>
  <si>
    <t>Cortez</t>
  </si>
  <si>
    <t>Jimmy</t>
  </si>
  <si>
    <t xml:space="preserve">Sator </t>
  </si>
  <si>
    <t>Aileen Gay</t>
  </si>
  <si>
    <t xml:space="preserve">Tenio </t>
  </si>
  <si>
    <t>Joie</t>
  </si>
  <si>
    <t>Manon-os</t>
  </si>
  <si>
    <t xml:space="preserve">LOCAL DAYONG    17825-PCEK </t>
  </si>
  <si>
    <t>CY - 2025-2026 Annual Dues</t>
  </si>
  <si>
    <t>CY - 2026-2027 Annual Due</t>
  </si>
  <si>
    <t>K of C Dayong Funds</t>
  </si>
  <si>
    <t>Total No. of  Members</t>
  </si>
  <si>
    <t>NO. OF Members Who Paid</t>
  </si>
  <si>
    <t>x</t>
  </si>
  <si>
    <t>Total Contributions</t>
  </si>
  <si>
    <t>Cash in Bank</t>
  </si>
  <si>
    <t xml:space="preserve">John Paul </t>
  </si>
  <si>
    <t>Membership fees collected -100</t>
  </si>
  <si>
    <t>Cash withheld by the treasurer</t>
  </si>
  <si>
    <t>(for deposit)</t>
  </si>
  <si>
    <t xml:space="preserve">Total Amount Collected </t>
  </si>
  <si>
    <t xml:space="preserve"> Total Claimable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</si>
</sst>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/>
    <font>
      <b/>
      <sz val="14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  <font>
      <sz val="11.0"/>
      <color rgb="FF080809"/>
      <name val="Arial"/>
    </font>
    <font>
      <sz val="11.0"/>
      <color rgb="FF080809"/>
      <name val="&quot;Segoe UI Historic&quot;"/>
    </font>
    <font>
      <sz val="21.0"/>
      <color theme="1"/>
      <name val="Arial"/>
      <scheme val="minor"/>
    </font>
    <font>
      <b/>
      <sz val="22.0"/>
      <color theme="1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0F0F0"/>
        <bgColor rgb="FFF0F0F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2" fillId="0" fontId="4" numFmtId="0" xfId="0" applyBorder="1" applyFont="1"/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readingOrder="0" shrinkToFit="0" vertical="top" wrapText="1"/>
    </xf>
    <xf borderId="3" fillId="0" fontId="1" numFmtId="0" xfId="0" applyAlignment="1" applyBorder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4" fillId="0" fontId="4" numFmtId="0" xfId="0" applyBorder="1" applyFont="1"/>
    <xf borderId="3" fillId="0" fontId="1" numFmtId="0" xfId="0" applyAlignment="1" applyBorder="1" applyFont="1">
      <alignment vertical="top"/>
    </xf>
    <xf borderId="3" fillId="0" fontId="1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vertical="top"/>
    </xf>
    <xf borderId="3" fillId="0" fontId="1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readingOrder="0" vertical="bottom"/>
    </xf>
    <xf borderId="3" fillId="0" fontId="1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1" fillId="0" fontId="1" numFmtId="0" xfId="0" applyAlignment="1" applyBorder="1" applyFont="1">
      <alignment horizontal="center" shrinkToFit="0" vertical="top" wrapText="1"/>
    </xf>
    <xf borderId="1" fillId="3" fontId="1" numFmtId="0" xfId="0" applyAlignment="1" applyBorder="1" applyFill="1" applyFont="1">
      <alignment horizontal="center" shrinkToFit="0" vertical="top" wrapText="1"/>
    </xf>
    <xf borderId="0" fillId="0" fontId="6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shrinkToFit="0" vertical="top" wrapText="1"/>
    </xf>
    <xf borderId="0" fillId="0" fontId="6" numFmtId="0" xfId="0" applyAlignment="1" applyFont="1">
      <alignment horizontal="right" readingOrder="0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6" fillId="0" fontId="4" numFmtId="0" xfId="0" applyBorder="1" applyFont="1"/>
    <xf borderId="5" fillId="3" fontId="1" numFmtId="0" xfId="0" applyAlignment="1" applyBorder="1" applyFill="1" applyFont="1">
      <alignment shrinkToFit="0" vertical="top" wrapText="1"/>
    </xf>
    <xf borderId="5" fillId="2" fontId="1" numFmtId="0" xfId="0" applyAlignment="1" applyBorder="1" applyFill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6" numFmtId="165" xfId="0" applyAlignment="1" applyFont="1" applyNumberFormat="1">
      <alignment horizontal="right" readingOrder="0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/>
    </xf>
    <xf borderId="5" fillId="0" fontId="6" numFmtId="0" xfId="0" applyBorder="1" applyFont="1"/>
    <xf borderId="5" fillId="0" fontId="6" numFmtId="0" xfId="0" applyAlignment="1" applyBorder="1" applyFont="1">
      <alignment horizontal="left" readingOrder="0"/>
    </xf>
    <xf borderId="5" fillId="3" fontId="6" numFmtId="0" xfId="0" applyAlignment="1" applyBorder="1" applyFill="1" applyFont="1">
      <alignment readingOrder="0"/>
    </xf>
    <xf borderId="5" fillId="2" fontId="6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vertical="bottom"/>
    </xf>
    <xf borderId="0" fillId="0" fontId="6" numFmtId="165" xfId="0" applyAlignment="1" applyFont="1" applyNumberFormat="1">
      <alignment readingOrder="0"/>
    </xf>
    <xf borderId="5" fillId="0" fontId="2" numFmtId="164" xfId="0" applyAlignment="1" applyBorder="1" applyFont="1" applyNumberFormat="1">
      <alignment vertical="bottom"/>
    </xf>
    <xf borderId="5" fillId="0" fontId="6" numFmtId="164" xfId="0" applyAlignment="1" applyBorder="1" applyFont="1" applyNumberFormat="1">
      <alignment readingOrder="0"/>
    </xf>
    <xf borderId="5" fillId="3" fontId="6" numFmtId="164" xfId="0" applyAlignment="1" applyBorder="1" applyFill="1" applyFont="1" applyNumberFormat="1">
      <alignment readingOrder="0"/>
    </xf>
    <xf borderId="0" fillId="0" fontId="6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readingOrder="0" vertical="bottom"/>
    </xf>
    <xf borderId="5" fillId="4" fontId="8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horizontal="right" vertical="bottom"/>
    </xf>
    <xf borderId="5" fillId="0" fontId="2" numFmtId="164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horizontal="right" vertical="bottom"/>
    </xf>
    <xf borderId="5" fillId="2" fontId="6" numFmtId="164" xfId="0" applyAlignment="1" applyBorder="1" applyFill="1" applyFont="1" applyNumberFormat="1">
      <alignment readingOrder="0"/>
    </xf>
    <xf borderId="5" fillId="3" fontId="6" numFmtId="165" xfId="0" applyAlignment="1" applyBorder="1" applyFill="1" applyFont="1" applyNumberFormat="1">
      <alignment horizontal="right" readingOrder="0"/>
    </xf>
    <xf borderId="0" fillId="4" fontId="8" numFmtId="0" xfId="0" applyAlignment="1" applyFill="1" applyFont="1">
      <alignment horizontal="left" readingOrder="0"/>
    </xf>
    <xf borderId="5" fillId="0" fontId="6" numFmtId="165" xfId="0" applyAlignment="1" applyBorder="1" applyFont="1" applyNumberFormat="1">
      <alignment horizontal="right" readingOrder="0"/>
    </xf>
    <xf borderId="5" fillId="4" fontId="8" numFmtId="0" xfId="0" applyAlignment="1" applyBorder="1" applyFill="1" applyFont="1">
      <alignment readingOrder="0"/>
    </xf>
    <xf borderId="0" fillId="4" fontId="9" numFmtId="0" xfId="0" applyAlignment="1" applyFill="1" applyFont="1">
      <alignment horizontal="left" readingOrder="0"/>
    </xf>
    <xf borderId="0" fillId="0" fontId="2" numFmtId="164" xfId="0" applyAlignment="1" applyFont="1" applyNumberFormat="1">
      <alignment vertical="bottom"/>
    </xf>
    <xf borderId="0" fillId="0" fontId="6" numFmtId="0" xfId="0" applyFont="1"/>
    <xf borderId="5" fillId="4" fontId="8" numFmtId="0" xfId="0" applyAlignment="1" applyBorder="1" applyFill="1" applyFont="1">
      <alignment horizontal="left" readingOrder="0"/>
    </xf>
    <xf borderId="0" fillId="0" fontId="2" numFmtId="0" xfId="0" applyAlignment="1" applyFont="1">
      <alignment vertical="bottom"/>
    </xf>
    <xf borderId="5" fillId="3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4" fontId="8" numFmtId="0" xfId="0" applyAlignment="1" applyFill="1" applyFont="1">
      <alignment readingOrder="0"/>
    </xf>
    <xf borderId="0" fillId="0" fontId="6" numFmtId="0" xfId="0" applyAlignment="1" applyFont="1">
      <alignment horizontal="left"/>
    </xf>
    <xf borderId="5" fillId="3" fontId="6" numFmtId="164" xfId="0" applyAlignment="1" applyBorder="1" applyFill="1" applyFont="1" applyNumberForma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3" fontId="6" numFmtId="165" xfId="0" applyAlignment="1" applyBorder="1" applyFill="1" applyFont="1" applyNumberFormat="1">
      <alignment readingOrder="0"/>
    </xf>
    <xf borderId="5" fillId="0" fontId="6" numFmtId="165" xfId="0" applyAlignment="1" applyBorder="1" applyFont="1" applyNumberFormat="1">
      <alignment readingOrder="0"/>
    </xf>
    <xf borderId="1" fillId="0" fontId="10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5" fillId="3" fontId="6" numFmtId="0" xfId="0" applyAlignment="1" applyBorder="1" applyFill="1" applyFont="1">
      <alignment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2" numFmtId="0" xfId="0" applyFont="1"/>
    <xf borderId="0" fillId="0" fontId="5" numFmtId="0" xfId="0" applyAlignment="1" applyFont="1">
      <alignment readingOrder="0"/>
    </xf>
    <xf borderId="0" fillId="0" fontId="12" numFmtId="1" xfId="0" applyAlignment="1" applyFont="1" applyNumberForma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12" numFmtId="3" xfId="0" applyAlignment="1" applyFont="1" applyNumberFormat="1">
      <alignment readingOrder="0"/>
    </xf>
    <xf borderId="0" fillId="0" fontId="12" numFmtId="4" xfId="0" applyFont="1" applyNumberFormat="1"/>
    <xf borderId="0" fillId="0" fontId="12" numFmtId="0" xfId="0" applyAlignment="1" applyFont="1">
      <alignment horizontal="center"/>
    </xf>
    <xf borderId="0" fillId="0" fontId="12" numFmtId="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2" xfId="0" applyFont="1" applyNumberFormat="1"/>
    <xf borderId="5" fillId="3" fontId="6" numFmtId="0" xfId="0" applyBorder="1" applyFill="1" applyFont="1"/>
    <xf borderId="0" fillId="0" fontId="12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2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15.88"/>
    <col customWidth="1" min="3" max="3" width="16.25"/>
    <col customWidth="1" min="4" max="4" width="14.88"/>
    <col customWidth="1" min="5" max="5" width="0.38"/>
    <col customWidth="1" min="7" max="7" width="18.63"/>
    <col customWidth="1" min="8" max="8" width="16.63"/>
    <col customWidth="1" min="9" max="9" width="9.75"/>
    <col customWidth="1" min="10" max="10" width="8.5"/>
    <col customWidth="1" min="11" max="11" width="9.13"/>
    <col customWidth="1" min="12" max="13" width="8.5"/>
    <col customWidth="1" min="14" max="14" width="9.75"/>
    <col customWidth="1" min="15" max="16" width="9.25"/>
    <col customWidth="1" min="17" max="17" width="8.5"/>
    <col customWidth="1" min="18" max="18" width="9.25"/>
    <col customWidth="1" min="19" max="19" width="8.38"/>
    <col customWidth="1" min="21" max="21" width="8.13"/>
  </cols>
  <sheetData>
    <row r="1" ht="24.75" customHeight="1">
      <c r="A1" s="1"/>
      <c r="B1" s="3"/>
      <c r="C1" s="5"/>
      <c r="D1" s="5"/>
      <c r="E1" s="5"/>
      <c r="F1" s="5"/>
      <c r="G1" s="7"/>
      <c r="H1" s="8"/>
      <c r="I1" s="8"/>
      <c r="J1" s="10" t="s">
        <v>1</v>
      </c>
      <c r="V1" s="10"/>
      <c r="W1" s="11"/>
      <c r="X1" s="11"/>
      <c r="Y1" s="11"/>
      <c r="Z1" s="11"/>
      <c r="AA1" s="11"/>
      <c r="AB1" s="11"/>
      <c r="AC1" s="11"/>
    </row>
    <row r="2" ht="40.5" customHeight="1">
      <c r="A2" s="1" t="s">
        <v>0</v>
      </c>
      <c r="B2" s="3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7" t="s">
        <v>7</v>
      </c>
      <c r="H2" s="8" t="s">
        <v>8</v>
      </c>
      <c r="I2" s="8" t="s">
        <v>9</v>
      </c>
      <c r="J2" s="15" t="s">
        <v>10</v>
      </c>
      <c r="K2" s="15" t="s">
        <v>11</v>
      </c>
      <c r="L2" s="16" t="s">
        <v>12</v>
      </c>
      <c r="M2" s="16" t="s">
        <v>11</v>
      </c>
      <c r="N2" s="16">
        <v>2027.0</v>
      </c>
      <c r="O2" s="16" t="s">
        <v>11</v>
      </c>
      <c r="P2" s="16">
        <v>2028.0</v>
      </c>
      <c r="Q2" s="16" t="s">
        <v>11</v>
      </c>
      <c r="R2" s="16">
        <v>2029.0</v>
      </c>
      <c r="S2" s="16" t="s">
        <v>11</v>
      </c>
      <c r="T2" s="16">
        <v>2030.0</v>
      </c>
      <c r="U2" s="5" t="s">
        <v>11</v>
      </c>
      <c r="V2" s="11"/>
      <c r="W2" s="11"/>
      <c r="X2" s="11"/>
      <c r="Y2" s="11"/>
      <c r="Z2" s="11"/>
      <c r="AA2" s="11"/>
      <c r="AB2" s="11"/>
      <c r="AC2" s="11"/>
    </row>
    <row r="3">
      <c r="A3" s="19">
        <v>56.0</v>
      </c>
      <c r="B3" s="19" t="s">
        <v>15</v>
      </c>
      <c r="C3" s="21" t="s">
        <v>16</v>
      </c>
      <c r="G3" s="22">
        <v>9826.0</v>
      </c>
      <c r="H3" s="21">
        <v>200.0</v>
      </c>
      <c r="I3" s="25">
        <v>45927.0</v>
      </c>
      <c r="J3" s="21">
        <v>100.0</v>
      </c>
      <c r="K3" s="25">
        <v>45927.0</v>
      </c>
    </row>
    <row r="4">
      <c r="A4" s="19">
        <v>57.0</v>
      </c>
      <c r="B4" s="19" t="s">
        <v>21</v>
      </c>
      <c r="C4" s="21" t="s">
        <v>22</v>
      </c>
      <c r="G4" s="22">
        <v>9826.0</v>
      </c>
      <c r="H4" s="27">
        <v>200.0</v>
      </c>
      <c r="I4" s="25">
        <v>45927.0</v>
      </c>
      <c r="J4" s="21">
        <v>100.0</v>
      </c>
      <c r="K4" s="25">
        <v>45927.0</v>
      </c>
    </row>
    <row r="5">
      <c r="A5" s="19">
        <v>58.0</v>
      </c>
      <c r="B5" s="19" t="s">
        <v>23</v>
      </c>
      <c r="C5" s="21" t="s">
        <v>24</v>
      </c>
      <c r="G5" s="22">
        <v>9826.0</v>
      </c>
      <c r="H5" s="27">
        <v>200.0</v>
      </c>
      <c r="I5" s="25">
        <v>45927.0</v>
      </c>
      <c r="J5" s="21">
        <v>100.0</v>
      </c>
      <c r="K5" s="25">
        <v>45927.0</v>
      </c>
    </row>
    <row r="6">
      <c r="A6" s="19">
        <v>59.0</v>
      </c>
      <c r="B6" s="19" t="s">
        <v>25</v>
      </c>
      <c r="C6" s="21" t="s">
        <v>26</v>
      </c>
      <c r="G6" s="22">
        <v>9826.0</v>
      </c>
      <c r="H6" s="27">
        <v>200.0</v>
      </c>
      <c r="I6" s="25">
        <v>45927.0</v>
      </c>
      <c r="J6" s="21">
        <v>100.0</v>
      </c>
      <c r="K6" s="25">
        <v>45927.0</v>
      </c>
    </row>
    <row r="7">
      <c r="A7" s="19">
        <v>60.0</v>
      </c>
      <c r="B7" s="19" t="s">
        <v>27</v>
      </c>
      <c r="C7" s="21" t="s">
        <v>28</v>
      </c>
      <c r="G7" s="22">
        <v>9826.0</v>
      </c>
      <c r="H7" s="27">
        <v>200.0</v>
      </c>
      <c r="I7" s="25">
        <v>45927.0</v>
      </c>
      <c r="J7" s="21">
        <v>100.0</v>
      </c>
      <c r="K7" s="25">
        <v>45927.0</v>
      </c>
    </row>
    <row r="8">
      <c r="A8" s="19">
        <v>61.0</v>
      </c>
      <c r="B8" s="19" t="s">
        <v>29</v>
      </c>
      <c r="C8" s="21" t="s">
        <v>30</v>
      </c>
      <c r="G8" s="22">
        <v>9826.0</v>
      </c>
      <c r="H8" s="27">
        <v>200.0</v>
      </c>
      <c r="I8" s="25">
        <v>45927.0</v>
      </c>
      <c r="J8" s="21">
        <v>100.0</v>
      </c>
      <c r="K8" s="25">
        <v>45927.0</v>
      </c>
    </row>
    <row r="9">
      <c r="A9" s="19">
        <v>62.0</v>
      </c>
      <c r="B9" s="19" t="s">
        <v>25</v>
      </c>
      <c r="C9" s="21" t="s">
        <v>33</v>
      </c>
      <c r="G9" s="22">
        <v>9826.0</v>
      </c>
      <c r="H9" s="27">
        <v>200.0</v>
      </c>
      <c r="I9" s="25">
        <v>45927.0</v>
      </c>
      <c r="J9" s="21">
        <v>100.0</v>
      </c>
      <c r="K9" s="25">
        <v>45927.0</v>
      </c>
    </row>
    <row r="10">
      <c r="A10" s="19">
        <v>81.0</v>
      </c>
      <c r="B10" s="19" t="s">
        <v>34</v>
      </c>
      <c r="C10" s="21" t="s">
        <v>35</v>
      </c>
      <c r="G10" s="22">
        <v>9826.0</v>
      </c>
      <c r="H10" s="21">
        <v>200.0</v>
      </c>
      <c r="I10" s="35">
        <v>45956.0</v>
      </c>
      <c r="J10" s="21">
        <v>100.0</v>
      </c>
      <c r="K10" s="35">
        <v>45956.0</v>
      </c>
    </row>
    <row r="11">
      <c r="A11" s="19">
        <v>82.0</v>
      </c>
      <c r="B11" s="19" t="s">
        <v>25</v>
      </c>
      <c r="C11" s="21" t="s">
        <v>36</v>
      </c>
      <c r="G11" s="22">
        <v>9826.0</v>
      </c>
      <c r="H11" s="21">
        <v>200.0</v>
      </c>
      <c r="I11" s="35">
        <v>45956.0</v>
      </c>
      <c r="J11" s="21">
        <v>100.0</v>
      </c>
      <c r="K11" s="35">
        <v>45956.0</v>
      </c>
    </row>
    <row r="12">
      <c r="A12" s="19">
        <v>83.0</v>
      </c>
      <c r="B12" s="19" t="s">
        <v>37</v>
      </c>
      <c r="C12" s="21" t="s">
        <v>38</v>
      </c>
      <c r="G12" s="22">
        <v>9826.0</v>
      </c>
      <c r="H12" s="21">
        <v>200.0</v>
      </c>
      <c r="I12" s="35">
        <v>45956.0</v>
      </c>
      <c r="J12" s="21">
        <v>100.0</v>
      </c>
      <c r="K12" s="35">
        <v>45956.0</v>
      </c>
    </row>
    <row r="13">
      <c r="A13" s="19">
        <v>53.0</v>
      </c>
      <c r="B13" s="19" t="s">
        <v>39</v>
      </c>
      <c r="C13" s="21" t="s">
        <v>40</v>
      </c>
      <c r="G13" s="22">
        <v>17817.0</v>
      </c>
      <c r="H13" s="21">
        <v>200.0</v>
      </c>
      <c r="I13" s="25">
        <v>45868.0</v>
      </c>
      <c r="J13" s="21">
        <v>100.0</v>
      </c>
      <c r="K13" s="25">
        <v>45941.0</v>
      </c>
    </row>
    <row r="14">
      <c r="A14" s="19">
        <v>63.0</v>
      </c>
      <c r="B14" s="19" t="s">
        <v>41</v>
      </c>
      <c r="C14" s="21" t="s">
        <v>42</v>
      </c>
      <c r="G14" s="22">
        <v>17817.0</v>
      </c>
      <c r="H14" s="21">
        <v>200.0</v>
      </c>
      <c r="I14" s="25">
        <v>45941.0</v>
      </c>
      <c r="J14" s="21">
        <v>100.0</v>
      </c>
      <c r="K14" s="25">
        <v>45941.0</v>
      </c>
    </row>
    <row r="15">
      <c r="A15" s="19" t="s">
        <v>43</v>
      </c>
      <c r="B15" s="19" t="s">
        <v>44</v>
      </c>
      <c r="C15" s="21" t="s">
        <v>45</v>
      </c>
      <c r="G15" s="22">
        <v>18109.0</v>
      </c>
      <c r="H15" s="21">
        <v>200.0</v>
      </c>
      <c r="I15" s="45">
        <v>45990.0</v>
      </c>
      <c r="J15" s="21">
        <v>100.0</v>
      </c>
      <c r="K15" s="45">
        <v>45990.0</v>
      </c>
    </row>
    <row r="16">
      <c r="A16" s="19">
        <v>88.0</v>
      </c>
      <c r="B16" s="19" t="s">
        <v>49</v>
      </c>
      <c r="C16" s="21" t="s">
        <v>50</v>
      </c>
      <c r="G16" s="22">
        <v>18109.0</v>
      </c>
      <c r="H16" s="21">
        <v>200.0</v>
      </c>
      <c r="I16" s="49"/>
      <c r="J16" s="49"/>
      <c r="K16" s="49"/>
      <c r="L16" s="49"/>
      <c r="M16" s="49"/>
      <c r="N16" s="49"/>
    </row>
    <row r="17">
      <c r="A17" s="19">
        <v>89.0</v>
      </c>
      <c r="B17" s="19" t="s">
        <v>54</v>
      </c>
      <c r="C17" s="21" t="s">
        <v>55</v>
      </c>
      <c r="G17" s="22">
        <v>18109.0</v>
      </c>
      <c r="H17" s="21">
        <v>200.0</v>
      </c>
      <c r="I17" s="49"/>
      <c r="J17" s="49"/>
      <c r="K17" s="49"/>
      <c r="L17" s="49"/>
      <c r="M17" s="49"/>
    </row>
    <row r="18">
      <c r="A18" s="19">
        <v>90.0</v>
      </c>
      <c r="B18" s="19" t="s">
        <v>54</v>
      </c>
      <c r="C18" s="21" t="s">
        <v>59</v>
      </c>
      <c r="G18" s="22">
        <v>18109.0</v>
      </c>
      <c r="H18" s="21">
        <v>200.0</v>
      </c>
      <c r="I18" s="49"/>
      <c r="J18" s="49"/>
      <c r="K18" s="49"/>
      <c r="L18" s="49"/>
      <c r="M18" s="49"/>
    </row>
    <row r="19">
      <c r="A19" s="19">
        <v>91.0</v>
      </c>
      <c r="B19" s="19" t="s">
        <v>60</v>
      </c>
      <c r="C19" s="21" t="s">
        <v>61</v>
      </c>
      <c r="G19" s="22">
        <v>18109.0</v>
      </c>
      <c r="H19" s="21">
        <v>200.0</v>
      </c>
      <c r="I19" s="49"/>
      <c r="J19" s="49"/>
      <c r="K19" s="49"/>
      <c r="L19" s="49"/>
      <c r="M19" s="49"/>
    </row>
    <row r="20">
      <c r="A20" s="19">
        <v>92.0</v>
      </c>
      <c r="B20" s="19" t="s">
        <v>63</v>
      </c>
      <c r="C20" s="21" t="s">
        <v>64</v>
      </c>
      <c r="G20" s="22">
        <v>18109.0</v>
      </c>
      <c r="H20" s="21">
        <v>200.0</v>
      </c>
      <c r="I20" s="49"/>
      <c r="J20" s="49"/>
      <c r="K20" s="49"/>
      <c r="L20" s="49"/>
      <c r="M20" s="49"/>
    </row>
    <row r="21">
      <c r="A21" s="19">
        <v>93.0</v>
      </c>
      <c r="B21" s="19" t="s">
        <v>67</v>
      </c>
      <c r="C21" s="21" t="s">
        <v>68</v>
      </c>
      <c r="G21" s="22">
        <v>18109.0</v>
      </c>
      <c r="H21" s="21">
        <v>200.0</v>
      </c>
      <c r="I21" s="49"/>
      <c r="J21" s="49"/>
      <c r="K21" s="49"/>
      <c r="L21" s="49"/>
      <c r="M21" s="49"/>
    </row>
    <row r="22">
      <c r="A22" s="19">
        <v>94.0</v>
      </c>
      <c r="B22" s="19" t="s">
        <v>71</v>
      </c>
      <c r="C22" s="21" t="s">
        <v>72</v>
      </c>
      <c r="G22" s="22">
        <v>18109.0</v>
      </c>
      <c r="H22" s="21">
        <v>200.0</v>
      </c>
      <c r="I22" s="49"/>
      <c r="J22" s="49"/>
      <c r="K22" s="49"/>
      <c r="L22" s="49"/>
      <c r="M22" s="49"/>
    </row>
    <row r="23">
      <c r="A23" s="19">
        <v>70.0</v>
      </c>
      <c r="B23" s="19" t="s">
        <v>75</v>
      </c>
      <c r="C23" s="21" t="s">
        <v>77</v>
      </c>
      <c r="G23" s="22">
        <v>18109.0</v>
      </c>
      <c r="H23" s="21">
        <v>200.0</v>
      </c>
      <c r="I23" s="25">
        <v>45942.0</v>
      </c>
      <c r="J23" s="21">
        <v>100.0</v>
      </c>
      <c r="K23" s="25">
        <v>45942.0</v>
      </c>
    </row>
    <row r="24">
      <c r="A24" s="19">
        <v>68.0</v>
      </c>
      <c r="B24" s="19" t="s">
        <v>79</v>
      </c>
      <c r="C24" s="21" t="s">
        <v>80</v>
      </c>
      <c r="G24" s="22">
        <v>18109.0</v>
      </c>
      <c r="H24" s="21">
        <v>200.0</v>
      </c>
      <c r="I24" s="25">
        <v>45942.0</v>
      </c>
      <c r="J24" s="21">
        <v>100.0</v>
      </c>
      <c r="K24" s="25">
        <v>45942.0</v>
      </c>
    </row>
    <row r="25">
      <c r="A25" s="19">
        <v>69.0</v>
      </c>
      <c r="B25" s="19" t="s">
        <v>83</v>
      </c>
      <c r="C25" s="21" t="s">
        <v>84</v>
      </c>
      <c r="G25" s="22">
        <v>18109.0</v>
      </c>
      <c r="H25" s="21">
        <v>200.0</v>
      </c>
      <c r="I25" s="25">
        <v>45942.0</v>
      </c>
      <c r="J25" s="21">
        <v>100.0</v>
      </c>
      <c r="K25" s="25">
        <v>45942.0</v>
      </c>
    </row>
    <row r="26">
      <c r="A26" s="19">
        <v>71.0</v>
      </c>
      <c r="B26" s="19" t="s">
        <v>85</v>
      </c>
      <c r="C26" s="21" t="s">
        <v>86</v>
      </c>
      <c r="G26" s="22">
        <v>18109.0</v>
      </c>
      <c r="H26" s="21">
        <v>200.0</v>
      </c>
      <c r="I26" s="25">
        <v>45942.0</v>
      </c>
      <c r="J26" s="21">
        <v>100.0</v>
      </c>
      <c r="K26" s="25">
        <v>45942.0</v>
      </c>
    </row>
    <row r="27">
      <c r="A27" s="19">
        <v>72.0</v>
      </c>
      <c r="B27" s="19" t="s">
        <v>85</v>
      </c>
      <c r="C27" s="21" t="s">
        <v>89</v>
      </c>
      <c r="G27" s="22">
        <v>18109.0</v>
      </c>
      <c r="H27" s="21">
        <v>200.0</v>
      </c>
      <c r="I27" s="25">
        <v>45942.0</v>
      </c>
      <c r="J27" s="21">
        <v>100.0</v>
      </c>
      <c r="K27" s="25">
        <v>45942.0</v>
      </c>
    </row>
    <row r="28">
      <c r="A28" s="19">
        <v>73.0</v>
      </c>
      <c r="B28" s="19" t="s">
        <v>71</v>
      </c>
      <c r="C28" s="21" t="s">
        <v>90</v>
      </c>
      <c r="G28" s="22">
        <v>18109.0</v>
      </c>
      <c r="H28" s="21">
        <v>200.0</v>
      </c>
      <c r="I28" s="25">
        <v>45942.0</v>
      </c>
      <c r="J28" s="21">
        <v>100.0</v>
      </c>
      <c r="K28" s="25">
        <v>45942.0</v>
      </c>
    </row>
    <row r="29">
      <c r="A29" s="19">
        <v>74.0</v>
      </c>
      <c r="B29" s="19" t="s">
        <v>71</v>
      </c>
      <c r="C29" s="21" t="s">
        <v>93</v>
      </c>
      <c r="G29" s="22">
        <v>18109.0</v>
      </c>
      <c r="H29" s="21">
        <v>200.0</v>
      </c>
      <c r="I29" s="25">
        <v>45942.0</v>
      </c>
      <c r="J29" s="21">
        <v>100.0</v>
      </c>
      <c r="K29" s="25">
        <v>45942.0</v>
      </c>
    </row>
    <row r="30">
      <c r="A30" s="19">
        <v>3.0</v>
      </c>
      <c r="B30" s="19" t="s">
        <v>94</v>
      </c>
      <c r="C30" s="21" t="s">
        <v>95</v>
      </c>
      <c r="G30" s="58" t="s">
        <v>96</v>
      </c>
      <c r="H30" s="21">
        <v>200.0</v>
      </c>
      <c r="I30" s="21"/>
    </row>
    <row r="31">
      <c r="A31" s="19">
        <v>4.0</v>
      </c>
      <c r="B31" s="19" t="s">
        <v>98</v>
      </c>
      <c r="C31" s="21" t="s">
        <v>99</v>
      </c>
      <c r="G31" s="58" t="s">
        <v>96</v>
      </c>
      <c r="H31" s="21">
        <v>200.0</v>
      </c>
      <c r="I31" s="21"/>
    </row>
    <row r="32">
      <c r="A32" s="19">
        <v>5.0</v>
      </c>
      <c r="B32" s="19" t="s">
        <v>101</v>
      </c>
      <c r="C32" s="21" t="s">
        <v>103</v>
      </c>
      <c r="G32" s="58" t="s">
        <v>96</v>
      </c>
      <c r="H32" s="21">
        <v>200.0</v>
      </c>
      <c r="I32" s="21"/>
    </row>
    <row r="33">
      <c r="A33" s="19">
        <v>8.0</v>
      </c>
      <c r="B33" s="19" t="s">
        <v>108</v>
      </c>
      <c r="C33" s="21" t="s">
        <v>109</v>
      </c>
      <c r="D33" s="21" t="s">
        <v>110</v>
      </c>
      <c r="G33" s="58" t="s">
        <v>96</v>
      </c>
      <c r="H33" s="21">
        <v>200.0</v>
      </c>
      <c r="I33" s="21"/>
    </row>
    <row r="34">
      <c r="A34" s="19">
        <v>9.0</v>
      </c>
      <c r="B34" s="19" t="s">
        <v>111</v>
      </c>
      <c r="C34" s="21" t="s">
        <v>113</v>
      </c>
      <c r="G34" s="58" t="s">
        <v>96</v>
      </c>
      <c r="H34" s="21">
        <v>200.0</v>
      </c>
      <c r="I34" s="21"/>
    </row>
    <row r="35">
      <c r="A35" s="19">
        <v>10.0</v>
      </c>
      <c r="B35" s="19" t="s">
        <v>115</v>
      </c>
      <c r="C35" s="21" t="s">
        <v>116</v>
      </c>
      <c r="G35" s="58" t="s">
        <v>96</v>
      </c>
      <c r="H35" s="21">
        <v>200.0</v>
      </c>
      <c r="I35" s="21"/>
    </row>
    <row r="36">
      <c r="A36" s="19">
        <v>15.0</v>
      </c>
      <c r="B36" s="19" t="s">
        <v>118</v>
      </c>
      <c r="C36" s="21" t="s">
        <v>119</v>
      </c>
      <c r="G36" s="58" t="s">
        <v>96</v>
      </c>
      <c r="H36" s="21">
        <v>200.0</v>
      </c>
      <c r="I36" s="21"/>
    </row>
    <row r="37">
      <c r="A37" s="19">
        <v>16.0</v>
      </c>
      <c r="B37" s="19" t="s">
        <v>123</v>
      </c>
      <c r="C37" s="21" t="s">
        <v>124</v>
      </c>
      <c r="G37" s="58" t="s">
        <v>96</v>
      </c>
      <c r="H37" s="21">
        <v>200.0</v>
      </c>
      <c r="I37" s="21"/>
    </row>
    <row r="38">
      <c r="A38" s="19">
        <v>17.0</v>
      </c>
      <c r="B38" s="19" t="s">
        <v>125</v>
      </c>
      <c r="C38" s="21" t="s">
        <v>126</v>
      </c>
      <c r="D38" s="21" t="s">
        <v>127</v>
      </c>
      <c r="G38" s="58" t="s">
        <v>96</v>
      </c>
      <c r="H38" s="21">
        <v>200.0</v>
      </c>
      <c r="I38" s="21"/>
    </row>
    <row r="39">
      <c r="A39" s="19">
        <v>23.0</v>
      </c>
      <c r="B39" s="19" t="s">
        <v>131</v>
      </c>
      <c r="C39" s="21" t="s">
        <v>132</v>
      </c>
      <c r="G39" s="58" t="s">
        <v>96</v>
      </c>
      <c r="H39" s="21">
        <v>200.0</v>
      </c>
      <c r="I39" s="21"/>
    </row>
    <row r="40">
      <c r="A40" s="19">
        <v>24.0</v>
      </c>
      <c r="B40" s="19" t="s">
        <v>133</v>
      </c>
      <c r="C40" s="21" t="s">
        <v>134</v>
      </c>
      <c r="G40" s="58" t="s">
        <v>96</v>
      </c>
      <c r="H40" s="21">
        <v>200.0</v>
      </c>
      <c r="I40" s="21"/>
    </row>
    <row r="41">
      <c r="A41" s="19">
        <v>29.0</v>
      </c>
      <c r="B41" s="19" t="s">
        <v>138</v>
      </c>
      <c r="C41" s="21" t="s">
        <v>84</v>
      </c>
      <c r="G41" s="58" t="s">
        <v>96</v>
      </c>
      <c r="H41" s="21">
        <v>200.0</v>
      </c>
      <c r="I41" s="21"/>
    </row>
    <row r="42">
      <c r="A42" s="19">
        <v>31.0</v>
      </c>
      <c r="B42" s="19" t="s">
        <v>139</v>
      </c>
      <c r="C42" s="21" t="s">
        <v>140</v>
      </c>
      <c r="G42" s="58" t="s">
        <v>96</v>
      </c>
      <c r="H42" s="21">
        <v>200.0</v>
      </c>
      <c r="I42" s="21"/>
    </row>
    <row r="43">
      <c r="A43" s="19">
        <v>43.0</v>
      </c>
      <c r="B43" s="19" t="s">
        <v>143</v>
      </c>
      <c r="C43" s="21" t="s">
        <v>144</v>
      </c>
      <c r="G43" s="58" t="s">
        <v>96</v>
      </c>
      <c r="H43" s="21">
        <v>200.0</v>
      </c>
      <c r="I43" s="21"/>
    </row>
    <row r="44">
      <c r="A44" s="19">
        <v>95.0</v>
      </c>
      <c r="B44" s="19" t="s">
        <v>145</v>
      </c>
      <c r="C44" s="21" t="s">
        <v>146</v>
      </c>
      <c r="G44" s="58" t="s">
        <v>96</v>
      </c>
      <c r="H44" s="21">
        <v>200.0</v>
      </c>
    </row>
    <row r="45">
      <c r="A45" s="19">
        <v>96.0</v>
      </c>
      <c r="B45" s="19" t="s">
        <v>73</v>
      </c>
      <c r="C45" s="21" t="s">
        <v>74</v>
      </c>
      <c r="G45" s="58" t="s">
        <v>96</v>
      </c>
      <c r="H45" s="21">
        <v>200.0</v>
      </c>
    </row>
    <row r="46">
      <c r="A46" s="19">
        <v>97.0</v>
      </c>
      <c r="B46" s="19" t="s">
        <v>73</v>
      </c>
      <c r="C46" s="21" t="s">
        <v>81</v>
      </c>
      <c r="D46" s="21" t="s">
        <v>82</v>
      </c>
      <c r="G46" s="58" t="s">
        <v>96</v>
      </c>
      <c r="H46" s="21">
        <v>200.0</v>
      </c>
    </row>
    <row r="47">
      <c r="A47" s="19">
        <v>98.0</v>
      </c>
      <c r="B47" s="19" t="s">
        <v>73</v>
      </c>
      <c r="C47" s="21" t="s">
        <v>88</v>
      </c>
      <c r="D47" s="21" t="s">
        <v>82</v>
      </c>
      <c r="G47" s="58" t="s">
        <v>96</v>
      </c>
      <c r="H47" s="21">
        <v>200.0</v>
      </c>
    </row>
    <row r="48">
      <c r="A48" s="19">
        <v>99.0</v>
      </c>
      <c r="B48" s="19" t="s">
        <v>73</v>
      </c>
      <c r="C48" s="21" t="s">
        <v>92</v>
      </c>
      <c r="D48" s="21" t="s">
        <v>82</v>
      </c>
      <c r="G48" s="58" t="s">
        <v>96</v>
      </c>
      <c r="H48" s="21">
        <v>200.0</v>
      </c>
    </row>
    <row r="49">
      <c r="A49" s="19">
        <v>100.0</v>
      </c>
      <c r="B49" s="19" t="s">
        <v>105</v>
      </c>
      <c r="C49" s="21" t="s">
        <v>106</v>
      </c>
      <c r="D49" s="21" t="s">
        <v>107</v>
      </c>
      <c r="G49" s="58" t="s">
        <v>96</v>
      </c>
      <c r="H49" s="21">
        <v>200.0</v>
      </c>
    </row>
    <row r="50">
      <c r="A50" s="19">
        <v>101.0</v>
      </c>
      <c r="B50" s="19" t="s">
        <v>105</v>
      </c>
      <c r="C50" s="21" t="s">
        <v>117</v>
      </c>
      <c r="D50" s="21" t="s">
        <v>121</v>
      </c>
      <c r="G50" s="58" t="s">
        <v>96</v>
      </c>
      <c r="H50" s="21">
        <v>200.0</v>
      </c>
    </row>
    <row r="51">
      <c r="A51" s="19">
        <v>102.0</v>
      </c>
      <c r="B51" s="19" t="s">
        <v>105</v>
      </c>
      <c r="C51" s="21" t="s">
        <v>129</v>
      </c>
      <c r="G51" s="58" t="s">
        <v>96</v>
      </c>
      <c r="H51" s="21">
        <v>200.0</v>
      </c>
    </row>
    <row r="52">
      <c r="A52" s="19">
        <v>103.0</v>
      </c>
      <c r="B52" s="19" t="s">
        <v>152</v>
      </c>
      <c r="C52" s="21" t="s">
        <v>153</v>
      </c>
      <c r="D52" s="21" t="s">
        <v>155</v>
      </c>
      <c r="G52" s="58" t="s">
        <v>96</v>
      </c>
      <c r="H52" s="21">
        <v>200.0</v>
      </c>
    </row>
    <row r="53">
      <c r="A53" s="19">
        <v>104.0</v>
      </c>
      <c r="B53" s="19" t="s">
        <v>115</v>
      </c>
      <c r="C53" s="21" t="s">
        <v>158</v>
      </c>
      <c r="G53" s="58" t="s">
        <v>96</v>
      </c>
      <c r="H53" s="21">
        <v>200.0</v>
      </c>
    </row>
    <row r="54">
      <c r="A54" s="19">
        <v>105.0</v>
      </c>
      <c r="B54" s="19" t="s">
        <v>159</v>
      </c>
      <c r="C54" s="21" t="s">
        <v>52</v>
      </c>
      <c r="D54" s="21" t="s">
        <v>160</v>
      </c>
      <c r="G54" s="58" t="s">
        <v>96</v>
      </c>
      <c r="H54" s="21">
        <v>200.0</v>
      </c>
    </row>
    <row r="55">
      <c r="A55" s="19">
        <v>106.0</v>
      </c>
      <c r="B55" s="19" t="s">
        <v>163</v>
      </c>
      <c r="C55" s="21" t="s">
        <v>164</v>
      </c>
      <c r="D55" s="21" t="s">
        <v>165</v>
      </c>
      <c r="G55" s="58" t="s">
        <v>96</v>
      </c>
      <c r="H55" s="21">
        <v>200.0</v>
      </c>
    </row>
    <row r="56">
      <c r="A56" s="19">
        <v>107.0</v>
      </c>
      <c r="B56" s="19" t="s">
        <v>166</v>
      </c>
      <c r="C56" s="21" t="s">
        <v>58</v>
      </c>
      <c r="D56" s="21" t="s">
        <v>167</v>
      </c>
      <c r="G56" s="58" t="s">
        <v>96</v>
      </c>
      <c r="H56" s="21">
        <v>200.0</v>
      </c>
    </row>
    <row r="57">
      <c r="A57" s="19">
        <v>108.0</v>
      </c>
      <c r="B57" s="19" t="s">
        <v>139</v>
      </c>
      <c r="C57" s="21" t="s">
        <v>170</v>
      </c>
      <c r="G57" s="58" t="s">
        <v>96</v>
      </c>
      <c r="H57" s="21">
        <v>200.0</v>
      </c>
    </row>
    <row r="58">
      <c r="A58" s="19">
        <v>109.0</v>
      </c>
      <c r="B58" s="19" t="s">
        <v>171</v>
      </c>
      <c r="C58" s="21" t="s">
        <v>30</v>
      </c>
      <c r="G58" s="58" t="s">
        <v>96</v>
      </c>
      <c r="H58" s="21">
        <v>200.0</v>
      </c>
    </row>
    <row r="59">
      <c r="A59" s="19">
        <v>110.0</v>
      </c>
      <c r="B59" s="19" t="s">
        <v>174</v>
      </c>
      <c r="C59" s="21" t="s">
        <v>175</v>
      </c>
      <c r="D59" s="21" t="s">
        <v>160</v>
      </c>
      <c r="G59" s="58" t="s">
        <v>96</v>
      </c>
      <c r="H59" s="21">
        <v>200.0</v>
      </c>
    </row>
    <row r="60">
      <c r="A60" s="19">
        <v>111.0</v>
      </c>
      <c r="B60" s="19" t="s">
        <v>176</v>
      </c>
      <c r="C60" s="21" t="s">
        <v>177</v>
      </c>
      <c r="D60" s="21" t="s">
        <v>178</v>
      </c>
      <c r="G60" s="58" t="s">
        <v>96</v>
      </c>
      <c r="H60" s="21">
        <v>200.0</v>
      </c>
    </row>
    <row r="61">
      <c r="A61" s="19">
        <v>112.0</v>
      </c>
      <c r="B61" s="19" t="s">
        <v>179</v>
      </c>
      <c r="C61" s="21" t="s">
        <v>180</v>
      </c>
      <c r="D61" s="21" t="s">
        <v>182</v>
      </c>
      <c r="G61" s="58" t="s">
        <v>96</v>
      </c>
      <c r="H61" s="21">
        <v>200.0</v>
      </c>
    </row>
    <row r="62">
      <c r="A62" s="19">
        <v>113.0</v>
      </c>
      <c r="B62" s="19" t="s">
        <v>184</v>
      </c>
      <c r="C62" s="21" t="s">
        <v>185</v>
      </c>
      <c r="D62" s="21" t="s">
        <v>186</v>
      </c>
      <c r="G62" s="58" t="s">
        <v>96</v>
      </c>
      <c r="H62" s="21">
        <v>200.0</v>
      </c>
    </row>
    <row r="63">
      <c r="A63" s="19">
        <v>114.0</v>
      </c>
      <c r="B63" s="19" t="s">
        <v>187</v>
      </c>
      <c r="C63" s="21" t="s">
        <v>188</v>
      </c>
      <c r="D63" s="21" t="s">
        <v>189</v>
      </c>
      <c r="G63" s="58" t="s">
        <v>96</v>
      </c>
      <c r="H63" s="21">
        <v>200.0</v>
      </c>
    </row>
    <row r="64">
      <c r="A64" s="19">
        <v>115.0</v>
      </c>
      <c r="B64" s="19" t="s">
        <v>190</v>
      </c>
      <c r="C64" s="21" t="s">
        <v>191</v>
      </c>
      <c r="D64" s="21" t="s">
        <v>192</v>
      </c>
      <c r="G64" s="58" t="s">
        <v>96</v>
      </c>
      <c r="H64" s="21">
        <v>200.0</v>
      </c>
    </row>
    <row r="65">
      <c r="A65" s="19">
        <v>116.0</v>
      </c>
      <c r="B65" s="19" t="s">
        <v>51</v>
      </c>
      <c r="C65" s="21" t="s">
        <v>52</v>
      </c>
      <c r="D65" s="21" t="s">
        <v>53</v>
      </c>
      <c r="G65" s="58" t="s">
        <v>96</v>
      </c>
      <c r="H65" s="21">
        <v>200.0</v>
      </c>
    </row>
    <row r="66">
      <c r="A66" s="19">
        <v>117.0</v>
      </c>
      <c r="B66" s="19" t="s">
        <v>65</v>
      </c>
      <c r="C66" s="21" t="s">
        <v>66</v>
      </c>
      <c r="G66" s="58" t="s">
        <v>96</v>
      </c>
      <c r="H66" s="21">
        <v>200.0</v>
      </c>
    </row>
    <row r="67">
      <c r="A67" s="19">
        <v>118.0</v>
      </c>
      <c r="B67" s="19" t="s">
        <v>149</v>
      </c>
      <c r="C67" s="21" t="s">
        <v>102</v>
      </c>
      <c r="D67" s="21" t="s">
        <v>53</v>
      </c>
      <c r="G67" s="58" t="s">
        <v>96</v>
      </c>
      <c r="H67" s="21">
        <v>200.0</v>
      </c>
    </row>
    <row r="68">
      <c r="A68" s="19">
        <v>119.0</v>
      </c>
      <c r="B68" s="19" t="s">
        <v>195</v>
      </c>
      <c r="C68" s="21" t="s">
        <v>197</v>
      </c>
      <c r="D68" s="21" t="s">
        <v>167</v>
      </c>
      <c r="G68" s="58" t="s">
        <v>96</v>
      </c>
      <c r="H68" s="21">
        <v>200.0</v>
      </c>
    </row>
    <row r="69">
      <c r="A69" s="19">
        <v>120.0</v>
      </c>
      <c r="B69" s="19" t="s">
        <v>198</v>
      </c>
      <c r="C69" s="21" t="s">
        <v>199</v>
      </c>
      <c r="D69" s="21" t="s">
        <v>165</v>
      </c>
      <c r="G69" s="58" t="s">
        <v>96</v>
      </c>
      <c r="H69" s="21">
        <v>200.0</v>
      </c>
    </row>
    <row r="70">
      <c r="A70" s="19">
        <v>121.0</v>
      </c>
      <c r="B70" s="21" t="s">
        <v>201</v>
      </c>
      <c r="C70" s="21" t="s">
        <v>113</v>
      </c>
      <c r="D70" s="21" t="s">
        <v>160</v>
      </c>
      <c r="G70" s="58" t="s">
        <v>96</v>
      </c>
      <c r="H70" s="21">
        <v>200.0</v>
      </c>
    </row>
    <row r="71">
      <c r="A71" s="19">
        <v>122.0</v>
      </c>
      <c r="B71" s="19" t="s">
        <v>202</v>
      </c>
      <c r="C71" s="21" t="s">
        <v>203</v>
      </c>
      <c r="D71" s="21" t="s">
        <v>53</v>
      </c>
      <c r="G71" s="58" t="s">
        <v>96</v>
      </c>
      <c r="H71" s="21">
        <v>200.0</v>
      </c>
    </row>
    <row r="72">
      <c r="A72" s="19">
        <v>123.0</v>
      </c>
      <c r="B72" s="19" t="s">
        <v>205</v>
      </c>
      <c r="C72" s="21" t="s">
        <v>206</v>
      </c>
      <c r="D72" s="21" t="s">
        <v>207</v>
      </c>
      <c r="G72" s="58" t="s">
        <v>96</v>
      </c>
      <c r="H72" s="21">
        <v>200.0</v>
      </c>
    </row>
    <row r="73">
      <c r="A73" s="19">
        <v>124.0</v>
      </c>
      <c r="B73" s="19" t="s">
        <v>208</v>
      </c>
      <c r="C73" s="21" t="s">
        <v>119</v>
      </c>
      <c r="D73" s="21" t="s">
        <v>178</v>
      </c>
      <c r="G73" s="58" t="s">
        <v>96</v>
      </c>
      <c r="H73" s="21">
        <v>200.0</v>
      </c>
    </row>
    <row r="74">
      <c r="A74" s="19">
        <v>125.0</v>
      </c>
      <c r="B74" s="19" t="s">
        <v>209</v>
      </c>
      <c r="C74" s="21" t="s">
        <v>211</v>
      </c>
      <c r="D74" s="21" t="s">
        <v>160</v>
      </c>
      <c r="G74" s="58" t="s">
        <v>96</v>
      </c>
      <c r="H74" s="21">
        <v>200.0</v>
      </c>
    </row>
    <row r="75">
      <c r="A75" s="19">
        <v>26.0</v>
      </c>
      <c r="B75" s="19" t="s">
        <v>212</v>
      </c>
      <c r="C75" s="21" t="s">
        <v>213</v>
      </c>
      <c r="G75" s="61" t="s">
        <v>214</v>
      </c>
      <c r="H75" s="21">
        <v>200.0</v>
      </c>
      <c r="I75" s="21"/>
    </row>
    <row r="76">
      <c r="A76" s="19">
        <v>13.0</v>
      </c>
      <c r="B76" s="19" t="s">
        <v>141</v>
      </c>
      <c r="C76" s="21" t="s">
        <v>142</v>
      </c>
      <c r="G76" s="22" t="s">
        <v>215</v>
      </c>
      <c r="H76" s="21">
        <v>200.0</v>
      </c>
      <c r="I76" s="21"/>
    </row>
    <row r="77">
      <c r="A77" s="19">
        <v>14.0</v>
      </c>
      <c r="B77" s="19" t="s">
        <v>147</v>
      </c>
      <c r="C77" s="21" t="s">
        <v>148</v>
      </c>
      <c r="G77" s="22" t="s">
        <v>215</v>
      </c>
      <c r="H77" s="21">
        <v>200.0</v>
      </c>
      <c r="I77" s="21"/>
    </row>
    <row r="78">
      <c r="A78" s="19">
        <v>25.0</v>
      </c>
      <c r="B78" s="19" t="s">
        <v>218</v>
      </c>
      <c r="C78" s="21" t="s">
        <v>219</v>
      </c>
      <c r="G78" s="22" t="s">
        <v>215</v>
      </c>
      <c r="H78" s="21">
        <v>200.0</v>
      </c>
      <c r="I78" s="21"/>
    </row>
    <row r="79">
      <c r="A79" s="19">
        <v>32.0</v>
      </c>
      <c r="B79" s="19" t="s">
        <v>222</v>
      </c>
      <c r="C79" s="21" t="s">
        <v>223</v>
      </c>
      <c r="G79" s="22" t="s">
        <v>215</v>
      </c>
      <c r="H79" s="21">
        <v>200.0</v>
      </c>
      <c r="I79" s="21"/>
    </row>
    <row r="80">
      <c r="A80" s="19">
        <v>39.0</v>
      </c>
      <c r="B80" s="19" t="s">
        <v>224</v>
      </c>
      <c r="C80" s="21" t="s">
        <v>225</v>
      </c>
      <c r="G80" s="22" t="s">
        <v>215</v>
      </c>
      <c r="H80" s="21">
        <v>200.0</v>
      </c>
      <c r="I80" s="21"/>
    </row>
    <row r="81">
      <c r="A81" s="19">
        <v>40.0</v>
      </c>
      <c r="B81" s="19" t="s">
        <v>228</v>
      </c>
      <c r="C81" s="21" t="s">
        <v>229</v>
      </c>
      <c r="D81" s="21" t="s">
        <v>230</v>
      </c>
      <c r="G81" s="22" t="s">
        <v>215</v>
      </c>
      <c r="H81" s="21">
        <v>200.0</v>
      </c>
      <c r="I81" s="21"/>
    </row>
    <row r="82">
      <c r="A82" s="19">
        <v>84.0</v>
      </c>
      <c r="B82" s="19" t="s">
        <v>231</v>
      </c>
      <c r="C82" s="21" t="s">
        <v>232</v>
      </c>
      <c r="D82" s="21" t="s">
        <v>233</v>
      </c>
      <c r="G82" s="22" t="s">
        <v>48</v>
      </c>
      <c r="H82" s="21">
        <v>200.0</v>
      </c>
      <c r="I82" s="35">
        <v>45956.0</v>
      </c>
      <c r="J82" s="21">
        <v>100.0</v>
      </c>
      <c r="K82" s="35">
        <v>45956.0</v>
      </c>
    </row>
    <row r="83">
      <c r="A83" s="19">
        <v>86.0</v>
      </c>
      <c r="B83" s="19" t="s">
        <v>62</v>
      </c>
      <c r="C83" s="21" t="s">
        <v>236</v>
      </c>
      <c r="G83" s="22" t="s">
        <v>48</v>
      </c>
      <c r="H83" s="21">
        <v>200.0</v>
      </c>
      <c r="I83" s="25">
        <v>46061.0</v>
      </c>
    </row>
    <row r="84">
      <c r="A84" s="19">
        <v>87.0</v>
      </c>
      <c r="B84" s="19" t="s">
        <v>62</v>
      </c>
      <c r="C84" s="21" t="s">
        <v>237</v>
      </c>
      <c r="G84" s="22" t="s">
        <v>48</v>
      </c>
      <c r="H84" s="21">
        <v>200.0</v>
      </c>
      <c r="I84" s="25">
        <v>46061.0</v>
      </c>
    </row>
    <row r="85">
      <c r="A85" s="19">
        <v>1.0</v>
      </c>
      <c r="B85" s="19" t="s">
        <v>46</v>
      </c>
      <c r="C85" s="21" t="s">
        <v>47</v>
      </c>
      <c r="G85" s="22" t="s">
        <v>48</v>
      </c>
      <c r="H85" s="21">
        <v>200.0</v>
      </c>
      <c r="I85" s="21"/>
      <c r="O85" s="63">
        <f>SUM(H85:H171)</f>
        <v>8600</v>
      </c>
    </row>
    <row r="86">
      <c r="A86" s="19">
        <v>2.0</v>
      </c>
      <c r="B86" s="19" t="s">
        <v>57</v>
      </c>
      <c r="C86" s="21" t="s">
        <v>58</v>
      </c>
      <c r="G86" s="22" t="s">
        <v>48</v>
      </c>
      <c r="H86" s="21">
        <v>200.0</v>
      </c>
      <c r="I86" s="21"/>
    </row>
    <row r="87">
      <c r="A87" s="19">
        <v>6.0</v>
      </c>
      <c r="B87" s="19" t="s">
        <v>62</v>
      </c>
      <c r="C87" s="21" t="s">
        <v>40</v>
      </c>
      <c r="G87" s="22" t="s">
        <v>48</v>
      </c>
      <c r="H87" s="21">
        <v>200.0</v>
      </c>
      <c r="I87" s="21"/>
    </row>
    <row r="88">
      <c r="A88" s="19">
        <v>7.0</v>
      </c>
      <c r="B88" s="19" t="s">
        <v>69</v>
      </c>
      <c r="C88" s="21" t="s">
        <v>70</v>
      </c>
      <c r="F88" s="21" t="s">
        <v>242</v>
      </c>
      <c r="G88" s="22" t="s">
        <v>48</v>
      </c>
      <c r="H88" s="21">
        <v>200.0</v>
      </c>
      <c r="I88" s="21"/>
    </row>
    <row r="89">
      <c r="A89" s="19">
        <v>11.0</v>
      </c>
      <c r="B89" s="19" t="s">
        <v>100</v>
      </c>
      <c r="C89" s="21" t="s">
        <v>102</v>
      </c>
      <c r="D89" s="21" t="s">
        <v>104</v>
      </c>
      <c r="G89" s="22" t="s">
        <v>48</v>
      </c>
      <c r="H89" s="21">
        <v>200.0</v>
      </c>
      <c r="I89" s="21"/>
    </row>
    <row r="90">
      <c r="A90" s="19">
        <v>12.0</v>
      </c>
      <c r="B90" s="19" t="s">
        <v>135</v>
      </c>
      <c r="C90" s="21" t="s">
        <v>136</v>
      </c>
      <c r="D90" s="21" t="s">
        <v>137</v>
      </c>
      <c r="G90" s="22" t="s">
        <v>48</v>
      </c>
      <c r="H90" s="21">
        <v>200.0</v>
      </c>
      <c r="I90" s="21"/>
    </row>
    <row r="91">
      <c r="A91" s="19">
        <v>18.0</v>
      </c>
      <c r="B91" s="19" t="s">
        <v>249</v>
      </c>
      <c r="C91" s="21" t="s">
        <v>78</v>
      </c>
      <c r="D91" s="21" t="s">
        <v>36</v>
      </c>
      <c r="E91" s="63"/>
      <c r="G91" s="22" t="s">
        <v>48</v>
      </c>
      <c r="H91" s="21">
        <v>200.0</v>
      </c>
      <c r="I91" s="21"/>
    </row>
    <row r="92">
      <c r="A92" s="19">
        <v>19.0</v>
      </c>
      <c r="B92" s="19" t="s">
        <v>254</v>
      </c>
      <c r="C92" s="21" t="s">
        <v>151</v>
      </c>
      <c r="G92" s="22" t="s">
        <v>48</v>
      </c>
      <c r="H92" s="21">
        <v>200.0</v>
      </c>
      <c r="I92" s="21"/>
    </row>
    <row r="93">
      <c r="A93" s="19">
        <v>20.0</v>
      </c>
      <c r="B93" s="19" t="s">
        <v>154</v>
      </c>
      <c r="C93" s="21" t="s">
        <v>156</v>
      </c>
      <c r="D93" s="21" t="s">
        <v>157</v>
      </c>
      <c r="G93" s="22" t="s">
        <v>48</v>
      </c>
      <c r="H93" s="21">
        <v>200.0</v>
      </c>
      <c r="I93" s="21"/>
    </row>
    <row r="94">
      <c r="A94" s="19">
        <v>21.0</v>
      </c>
      <c r="B94" s="19" t="s">
        <v>161</v>
      </c>
      <c r="C94" s="21" t="s">
        <v>162</v>
      </c>
      <c r="G94" s="22" t="s">
        <v>48</v>
      </c>
      <c r="H94" s="21">
        <v>200.0</v>
      </c>
      <c r="I94" s="21"/>
      <c r="J94" s="21">
        <v>100.0</v>
      </c>
      <c r="K94" s="25">
        <v>45970.0</v>
      </c>
    </row>
    <row r="95">
      <c r="A95" s="19">
        <v>22.0</v>
      </c>
      <c r="B95" s="19" t="s">
        <v>168</v>
      </c>
      <c r="C95" s="21" t="s">
        <v>169</v>
      </c>
      <c r="D95" s="21" t="s">
        <v>167</v>
      </c>
      <c r="G95" s="22" t="s">
        <v>48</v>
      </c>
      <c r="H95" s="21">
        <v>200.0</v>
      </c>
      <c r="I95" s="21"/>
    </row>
    <row r="96">
      <c r="A96" s="19">
        <v>27.0</v>
      </c>
      <c r="B96" s="19" t="s">
        <v>220</v>
      </c>
      <c r="C96" s="21" t="s">
        <v>221</v>
      </c>
      <c r="G96" s="22" t="s">
        <v>48</v>
      </c>
      <c r="H96" s="21">
        <v>200.0</v>
      </c>
      <c r="I96" s="21"/>
    </row>
    <row r="97">
      <c r="A97" s="19">
        <v>28.0</v>
      </c>
      <c r="B97" s="19" t="s">
        <v>216</v>
      </c>
      <c r="C97" s="21" t="s">
        <v>217</v>
      </c>
      <c r="G97" s="22" t="s">
        <v>48</v>
      </c>
      <c r="H97" s="21">
        <v>200.0</v>
      </c>
      <c r="I97" s="21"/>
    </row>
    <row r="98">
      <c r="A98" s="19">
        <v>30.0</v>
      </c>
      <c r="B98" s="19" t="s">
        <v>226</v>
      </c>
      <c r="C98" s="21" t="s">
        <v>227</v>
      </c>
      <c r="G98" s="22" t="s">
        <v>48</v>
      </c>
      <c r="H98" s="21">
        <v>200.0</v>
      </c>
      <c r="I98" s="21"/>
    </row>
    <row r="99">
      <c r="A99" s="19">
        <v>33.0</v>
      </c>
      <c r="B99" s="65" t="s">
        <v>238</v>
      </c>
      <c r="C99" s="21" t="s">
        <v>213</v>
      </c>
      <c r="D99" s="21"/>
      <c r="E99" s="21"/>
      <c r="F99" s="25"/>
      <c r="G99" s="22" t="s">
        <v>48</v>
      </c>
      <c r="H99" s="21">
        <v>200.0</v>
      </c>
      <c r="I99" s="21"/>
      <c r="J99" s="21">
        <v>100.0</v>
      </c>
      <c r="K99" s="25">
        <v>45970.0</v>
      </c>
    </row>
    <row r="100">
      <c r="A100" s="19">
        <v>34.0</v>
      </c>
      <c r="B100" s="19" t="s">
        <v>245</v>
      </c>
      <c r="C100" s="21" t="s">
        <v>246</v>
      </c>
      <c r="G100" s="22" t="s">
        <v>48</v>
      </c>
      <c r="H100" s="21">
        <v>200.0</v>
      </c>
      <c r="I100" s="21"/>
    </row>
    <row r="101">
      <c r="A101" s="19">
        <v>35.0</v>
      </c>
      <c r="B101" s="65" t="s">
        <v>250</v>
      </c>
      <c r="C101" s="21" t="s">
        <v>251</v>
      </c>
      <c r="D101" s="21" t="s">
        <v>252</v>
      </c>
      <c r="E101" s="21" t="s">
        <v>253</v>
      </c>
      <c r="F101" s="25">
        <v>29487.0</v>
      </c>
      <c r="G101" s="22" t="s">
        <v>48</v>
      </c>
      <c r="H101" s="21">
        <v>200.0</v>
      </c>
      <c r="I101" s="21"/>
    </row>
    <row r="102">
      <c r="A102" s="19">
        <v>36.0</v>
      </c>
      <c r="B102" s="19" t="s">
        <v>255</v>
      </c>
      <c r="C102" s="21" t="s">
        <v>256</v>
      </c>
      <c r="G102" s="22" t="s">
        <v>48</v>
      </c>
      <c r="H102" s="21">
        <v>200.0</v>
      </c>
      <c r="I102" s="21"/>
    </row>
    <row r="103">
      <c r="A103" s="19">
        <v>37.0</v>
      </c>
      <c r="B103" s="19" t="s">
        <v>257</v>
      </c>
      <c r="C103" s="21" t="s">
        <v>258</v>
      </c>
      <c r="G103" s="22" t="s">
        <v>48</v>
      </c>
      <c r="H103" s="21">
        <v>200.0</v>
      </c>
      <c r="I103" s="21"/>
    </row>
    <row r="104">
      <c r="A104" s="19">
        <v>38.0</v>
      </c>
      <c r="B104" s="65" t="s">
        <v>259</v>
      </c>
      <c r="C104" s="21" t="s">
        <v>260</v>
      </c>
      <c r="D104" s="21" t="s">
        <v>261</v>
      </c>
      <c r="E104" s="21" t="s">
        <v>253</v>
      </c>
      <c r="G104" s="58" t="s">
        <v>48</v>
      </c>
      <c r="H104" s="21">
        <v>200.0</v>
      </c>
      <c r="I104" s="21"/>
    </row>
    <row r="105">
      <c r="A105" s="19">
        <v>41.0</v>
      </c>
      <c r="B105" s="19" t="s">
        <v>262</v>
      </c>
      <c r="C105" s="21" t="s">
        <v>263</v>
      </c>
      <c r="D105" s="21" t="s">
        <v>165</v>
      </c>
      <c r="G105" s="22" t="s">
        <v>48</v>
      </c>
      <c r="H105" s="21">
        <v>200.0</v>
      </c>
      <c r="I105" s="21"/>
    </row>
    <row r="106">
      <c r="A106" s="19">
        <v>42.0</v>
      </c>
      <c r="B106" s="19" t="s">
        <v>264</v>
      </c>
      <c r="C106" s="21" t="s">
        <v>132</v>
      </c>
      <c r="G106" s="22" t="s">
        <v>48</v>
      </c>
      <c r="H106" s="21">
        <v>200.0</v>
      </c>
      <c r="I106" s="21"/>
    </row>
    <row r="107">
      <c r="A107" s="19">
        <v>44.0</v>
      </c>
      <c r="B107" s="19" t="s">
        <v>267</v>
      </c>
      <c r="C107" s="21" t="s">
        <v>268</v>
      </c>
      <c r="G107" s="22" t="s">
        <v>48</v>
      </c>
      <c r="H107" s="21">
        <v>200.0</v>
      </c>
      <c r="I107" s="21"/>
    </row>
    <row r="108">
      <c r="A108" s="19">
        <v>45.0</v>
      </c>
      <c r="B108" s="19" t="s">
        <v>267</v>
      </c>
      <c r="C108" s="21" t="s">
        <v>269</v>
      </c>
      <c r="G108" s="22" t="s">
        <v>48</v>
      </c>
      <c r="H108" s="21">
        <v>200.0</v>
      </c>
      <c r="I108" s="21"/>
    </row>
    <row r="109">
      <c r="A109" s="19">
        <v>46.0</v>
      </c>
      <c r="B109" s="21" t="s">
        <v>270</v>
      </c>
      <c r="C109" s="21" t="s">
        <v>271</v>
      </c>
      <c r="G109" s="22" t="s">
        <v>48</v>
      </c>
      <c r="H109" s="21">
        <v>200.0</v>
      </c>
      <c r="I109" s="21"/>
    </row>
    <row r="110">
      <c r="A110" s="19">
        <v>47.0</v>
      </c>
      <c r="B110" s="65" t="s">
        <v>272</v>
      </c>
      <c r="C110" s="21" t="s">
        <v>273</v>
      </c>
      <c r="D110" s="21" t="s">
        <v>274</v>
      </c>
      <c r="G110" s="22" t="s">
        <v>48</v>
      </c>
      <c r="H110" s="21">
        <v>200.0</v>
      </c>
      <c r="I110" s="21"/>
    </row>
    <row r="111">
      <c r="A111" s="19">
        <v>48.0</v>
      </c>
      <c r="B111" s="19" t="s">
        <v>275</v>
      </c>
      <c r="C111" s="21" t="s">
        <v>169</v>
      </c>
      <c r="D111" s="21" t="s">
        <v>276</v>
      </c>
      <c r="G111" s="22" t="s">
        <v>48</v>
      </c>
      <c r="H111" s="21">
        <v>200.0</v>
      </c>
      <c r="I111" s="21"/>
    </row>
    <row r="112">
      <c r="A112" s="19">
        <v>49.0</v>
      </c>
      <c r="B112" s="19" t="s">
        <v>181</v>
      </c>
      <c r="C112" s="21" t="s">
        <v>169</v>
      </c>
      <c r="G112" s="22" t="s">
        <v>48</v>
      </c>
      <c r="H112" s="21">
        <v>200.0</v>
      </c>
      <c r="I112" s="25">
        <v>45851.0</v>
      </c>
      <c r="J112" s="21">
        <v>100.0</v>
      </c>
      <c r="K112" s="25">
        <v>45900.0</v>
      </c>
    </row>
    <row r="113">
      <c r="A113" s="19">
        <v>50.0</v>
      </c>
      <c r="B113" s="19" t="s">
        <v>278</v>
      </c>
      <c r="C113" s="21" t="s">
        <v>279</v>
      </c>
      <c r="G113" s="22" t="s">
        <v>48</v>
      </c>
      <c r="H113" s="21">
        <v>200.0</v>
      </c>
      <c r="I113" s="25">
        <v>45852.0</v>
      </c>
    </row>
    <row r="114">
      <c r="A114" s="19">
        <v>51.0</v>
      </c>
      <c r="B114" s="19" t="s">
        <v>112</v>
      </c>
      <c r="C114" s="21" t="s">
        <v>114</v>
      </c>
      <c r="G114" s="22" t="s">
        <v>48</v>
      </c>
      <c r="H114" s="21">
        <v>200.0</v>
      </c>
      <c r="I114" s="25">
        <v>45853.0</v>
      </c>
      <c r="J114" s="21">
        <v>100.0</v>
      </c>
      <c r="K114" s="25">
        <v>45942.0</v>
      </c>
    </row>
    <row r="115">
      <c r="A115" s="19">
        <v>52.0</v>
      </c>
      <c r="B115" s="19" t="s">
        <v>76</v>
      </c>
      <c r="C115" s="21" t="s">
        <v>78</v>
      </c>
      <c r="G115" s="22" t="s">
        <v>48</v>
      </c>
      <c r="H115" s="21">
        <v>200.0</v>
      </c>
      <c r="I115" s="25">
        <v>45854.0</v>
      </c>
      <c r="J115" s="21">
        <v>100.0</v>
      </c>
      <c r="K115" s="25">
        <v>45942.0</v>
      </c>
    </row>
    <row r="116">
      <c r="A116" s="19">
        <v>54.0</v>
      </c>
      <c r="B116" s="19" t="s">
        <v>128</v>
      </c>
      <c r="C116" s="21" t="s">
        <v>130</v>
      </c>
      <c r="G116" s="22" t="s">
        <v>48</v>
      </c>
      <c r="H116" s="21">
        <v>200.0</v>
      </c>
      <c r="I116" s="25">
        <v>45900.0</v>
      </c>
    </row>
    <row r="117">
      <c r="A117" s="19">
        <v>64.0</v>
      </c>
      <c r="B117" s="19" t="s">
        <v>238</v>
      </c>
      <c r="C117" s="21" t="s">
        <v>239</v>
      </c>
      <c r="G117" s="22" t="s">
        <v>48</v>
      </c>
      <c r="H117" s="21">
        <v>200.0</v>
      </c>
      <c r="I117" s="25">
        <v>45942.0</v>
      </c>
      <c r="J117" s="21">
        <v>100.0</v>
      </c>
      <c r="K117" s="25">
        <v>45942.0</v>
      </c>
    </row>
    <row r="118">
      <c r="A118" s="19">
        <v>65.0</v>
      </c>
      <c r="B118" s="19" t="s">
        <v>243</v>
      </c>
      <c r="C118" s="21" t="s">
        <v>244</v>
      </c>
      <c r="G118" s="22" t="s">
        <v>48</v>
      </c>
      <c r="H118" s="21">
        <v>200.0</v>
      </c>
      <c r="I118" s="25">
        <v>45942.0</v>
      </c>
      <c r="J118" s="21">
        <v>100.0</v>
      </c>
      <c r="K118" s="25">
        <v>45942.0</v>
      </c>
    </row>
    <row r="119">
      <c r="A119" s="19">
        <v>66.0</v>
      </c>
      <c r="B119" s="19" t="s">
        <v>238</v>
      </c>
      <c r="C119" s="21" t="s">
        <v>240</v>
      </c>
      <c r="G119" s="22" t="s">
        <v>48</v>
      </c>
      <c r="H119" s="21">
        <v>200.0</v>
      </c>
      <c r="I119" s="25">
        <v>45942.0</v>
      </c>
      <c r="J119" s="21">
        <v>100.0</v>
      </c>
      <c r="K119" s="25">
        <v>45942.0</v>
      </c>
    </row>
    <row r="120">
      <c r="A120" s="19">
        <v>67.0</v>
      </c>
      <c r="B120" s="19" t="s">
        <v>238</v>
      </c>
      <c r="C120" s="21" t="s">
        <v>241</v>
      </c>
      <c r="G120" s="22" t="s">
        <v>48</v>
      </c>
      <c r="H120" s="21">
        <v>200.0</v>
      </c>
      <c r="I120" s="25">
        <v>45942.0</v>
      </c>
      <c r="J120" s="21">
        <v>100.0</v>
      </c>
      <c r="K120" s="25">
        <v>45942.0</v>
      </c>
    </row>
    <row r="121">
      <c r="A121" s="19">
        <v>75.0</v>
      </c>
      <c r="B121" s="19" t="s">
        <v>120</v>
      </c>
      <c r="C121" s="21" t="s">
        <v>122</v>
      </c>
      <c r="G121" s="22" t="s">
        <v>48</v>
      </c>
      <c r="H121" s="21">
        <v>200.0</v>
      </c>
      <c r="I121" s="25">
        <v>45942.0</v>
      </c>
      <c r="J121" s="21">
        <v>100.0</v>
      </c>
      <c r="K121" s="25">
        <v>45942.0</v>
      </c>
    </row>
    <row r="122">
      <c r="A122" s="19">
        <v>76.0</v>
      </c>
      <c r="B122" s="19" t="s">
        <v>247</v>
      </c>
      <c r="C122" s="21" t="s">
        <v>248</v>
      </c>
      <c r="G122" s="22" t="s">
        <v>48</v>
      </c>
      <c r="H122" s="21">
        <v>200.0</v>
      </c>
      <c r="I122" s="25">
        <v>45942.0</v>
      </c>
      <c r="J122" s="21">
        <v>100.0</v>
      </c>
      <c r="K122" s="25">
        <v>45942.0</v>
      </c>
    </row>
    <row r="123">
      <c r="A123" s="19">
        <v>77.0</v>
      </c>
      <c r="B123" s="19" t="s">
        <v>76</v>
      </c>
      <c r="C123" s="21" t="s">
        <v>87</v>
      </c>
      <c r="G123" s="22" t="s">
        <v>48</v>
      </c>
      <c r="H123" s="21">
        <v>200.0</v>
      </c>
      <c r="I123" s="25">
        <v>45942.0</v>
      </c>
      <c r="J123" s="21">
        <v>100.0</v>
      </c>
      <c r="K123" s="25">
        <v>45942.0</v>
      </c>
    </row>
    <row r="124">
      <c r="A124" s="19">
        <v>78.0</v>
      </c>
      <c r="B124" s="19" t="s">
        <v>76</v>
      </c>
      <c r="C124" s="21" t="s">
        <v>91</v>
      </c>
      <c r="G124" s="22" t="s">
        <v>48</v>
      </c>
      <c r="H124" s="21">
        <v>200.0</v>
      </c>
      <c r="I124" s="25">
        <v>45942.0</v>
      </c>
      <c r="J124" s="21">
        <v>100.0</v>
      </c>
      <c r="K124" s="25">
        <v>45942.0</v>
      </c>
    </row>
    <row r="125">
      <c r="A125" s="19">
        <v>79.0</v>
      </c>
      <c r="B125" s="19" t="s">
        <v>76</v>
      </c>
      <c r="C125" s="21" t="s">
        <v>97</v>
      </c>
      <c r="G125" s="22" t="s">
        <v>48</v>
      </c>
      <c r="H125" s="21">
        <v>200.0</v>
      </c>
      <c r="I125" s="25">
        <v>45942.0</v>
      </c>
      <c r="J125" s="21">
        <v>100.0</v>
      </c>
      <c r="K125" s="25">
        <v>45942.0</v>
      </c>
    </row>
    <row r="126">
      <c r="A126" s="19">
        <v>80.0</v>
      </c>
      <c r="B126" s="19" t="s">
        <v>234</v>
      </c>
      <c r="C126" s="21" t="s">
        <v>235</v>
      </c>
      <c r="G126" s="22" t="s">
        <v>48</v>
      </c>
      <c r="H126" s="21">
        <v>200.0</v>
      </c>
      <c r="I126" s="25">
        <v>45942.0</v>
      </c>
      <c r="J126" s="21">
        <v>100.0</v>
      </c>
      <c r="K126" s="25">
        <v>45942.0</v>
      </c>
    </row>
    <row r="127">
      <c r="A127" s="19">
        <v>55.0</v>
      </c>
      <c r="B127" s="68" t="s">
        <v>181</v>
      </c>
      <c r="C127" s="21" t="s">
        <v>193</v>
      </c>
      <c r="D127" s="21"/>
      <c r="G127" s="22" t="s">
        <v>194</v>
      </c>
      <c r="H127" s="21">
        <v>200.0</v>
      </c>
      <c r="I127" s="25">
        <v>45900.0</v>
      </c>
    </row>
    <row r="128">
      <c r="A128" s="29"/>
      <c r="B128" s="29"/>
      <c r="G128" s="69"/>
    </row>
    <row r="129">
      <c r="A129" s="29"/>
      <c r="B129" s="29"/>
      <c r="G129" s="69"/>
    </row>
    <row r="130">
      <c r="A130" s="29"/>
      <c r="B130" s="29"/>
      <c r="G130" s="69"/>
    </row>
    <row r="131">
      <c r="A131" s="29"/>
      <c r="B131" s="29"/>
      <c r="G131" s="69"/>
    </row>
    <row r="132">
      <c r="A132" s="29"/>
      <c r="B132" s="29"/>
      <c r="G132" s="69"/>
    </row>
    <row r="133">
      <c r="A133" s="29"/>
      <c r="B133" s="29"/>
      <c r="G133" s="69"/>
    </row>
    <row r="134">
      <c r="A134" s="29"/>
      <c r="B134" s="29"/>
      <c r="G134" s="69"/>
    </row>
    <row r="135">
      <c r="A135" s="29"/>
      <c r="B135" s="29"/>
      <c r="G135" s="69"/>
    </row>
    <row r="136">
      <c r="A136" s="29"/>
      <c r="B136" s="29"/>
      <c r="G136" s="69"/>
    </row>
    <row r="137">
      <c r="A137" s="29"/>
      <c r="B137" s="29"/>
      <c r="G137" s="69"/>
    </row>
    <row r="138">
      <c r="A138" s="29"/>
      <c r="B138" s="29"/>
      <c r="G138" s="69"/>
    </row>
    <row r="139">
      <c r="A139" s="29"/>
      <c r="B139" s="29"/>
      <c r="G139" s="69"/>
    </row>
    <row r="140">
      <c r="A140" s="29"/>
      <c r="B140" s="29"/>
      <c r="G140" s="69"/>
    </row>
    <row r="141">
      <c r="A141" s="29"/>
      <c r="B141" s="29"/>
      <c r="G141" s="69"/>
    </row>
    <row r="142">
      <c r="A142" s="29"/>
      <c r="B142" s="29"/>
      <c r="G142" s="69"/>
    </row>
    <row r="143">
      <c r="A143" s="29"/>
      <c r="B143" s="29"/>
      <c r="G143" s="69"/>
    </row>
    <row r="144">
      <c r="A144" s="29"/>
      <c r="B144" s="29"/>
      <c r="G144" s="69"/>
    </row>
    <row r="145">
      <c r="A145" s="29"/>
      <c r="B145" s="29"/>
      <c r="G145" s="69"/>
    </row>
    <row r="146">
      <c r="A146" s="29"/>
      <c r="B146" s="29"/>
      <c r="G146" s="69"/>
    </row>
    <row r="147">
      <c r="A147" s="29"/>
      <c r="B147" s="29"/>
      <c r="G147" s="69"/>
    </row>
    <row r="148">
      <c r="A148" s="29"/>
      <c r="B148" s="29"/>
      <c r="G148" s="69"/>
    </row>
    <row r="149">
      <c r="A149" s="29"/>
      <c r="B149" s="29"/>
      <c r="G149" s="69"/>
    </row>
    <row r="150">
      <c r="A150" s="29"/>
      <c r="B150" s="29"/>
      <c r="G150" s="69"/>
    </row>
    <row r="151">
      <c r="A151" s="29"/>
      <c r="B151" s="29"/>
      <c r="G151" s="69"/>
    </row>
    <row r="152">
      <c r="A152" s="29"/>
      <c r="B152" s="29"/>
      <c r="G152" s="69"/>
    </row>
    <row r="153">
      <c r="A153" s="29"/>
      <c r="B153" s="29"/>
      <c r="G153" s="69"/>
    </row>
    <row r="154">
      <c r="A154" s="29"/>
      <c r="B154" s="29"/>
      <c r="G154" s="69"/>
    </row>
    <row r="155">
      <c r="A155" s="29"/>
      <c r="B155" s="29"/>
      <c r="G155" s="69"/>
    </row>
    <row r="156">
      <c r="A156" s="29"/>
      <c r="B156" s="29"/>
      <c r="G156" s="69"/>
    </row>
    <row r="157">
      <c r="A157" s="29"/>
      <c r="B157" s="29"/>
      <c r="G157" s="69"/>
    </row>
    <row r="158">
      <c r="A158" s="29"/>
      <c r="B158" s="29"/>
      <c r="G158" s="69"/>
    </row>
    <row r="159">
      <c r="A159" s="29"/>
      <c r="B159" s="29"/>
      <c r="G159" s="69"/>
    </row>
    <row r="160">
      <c r="A160" s="29"/>
      <c r="B160" s="29"/>
      <c r="G160" s="69"/>
    </row>
    <row r="161">
      <c r="A161" s="29"/>
      <c r="B161" s="29"/>
      <c r="G161" s="69"/>
    </row>
    <row r="162">
      <c r="A162" s="29"/>
      <c r="B162" s="29"/>
      <c r="G162" s="69"/>
    </row>
    <row r="163">
      <c r="A163" s="29"/>
      <c r="B163" s="29"/>
      <c r="G163" s="69"/>
    </row>
    <row r="164">
      <c r="A164" s="29"/>
      <c r="B164" s="29"/>
      <c r="G164" s="69"/>
    </row>
    <row r="165">
      <c r="A165" s="29"/>
      <c r="B165" s="29"/>
      <c r="G165" s="69"/>
    </row>
    <row r="166">
      <c r="A166" s="29"/>
      <c r="B166" s="29"/>
      <c r="G166" s="69"/>
    </row>
    <row r="167">
      <c r="A167" s="29"/>
      <c r="B167" s="29"/>
      <c r="G167" s="69"/>
    </row>
    <row r="168">
      <c r="A168" s="29"/>
      <c r="B168" s="29"/>
      <c r="G168" s="69"/>
    </row>
    <row r="169">
      <c r="A169" s="29"/>
      <c r="B169" s="29"/>
      <c r="G169" s="69"/>
    </row>
    <row r="170">
      <c r="A170" s="29"/>
      <c r="B170" s="29"/>
      <c r="G170" s="69"/>
    </row>
    <row r="171">
      <c r="A171" s="29"/>
      <c r="B171" s="29"/>
      <c r="G171" s="69"/>
    </row>
    <row r="172">
      <c r="A172" s="29"/>
      <c r="B172" s="29"/>
      <c r="G172" s="69"/>
    </row>
    <row r="173">
      <c r="A173" s="29"/>
      <c r="B173" s="29"/>
      <c r="G173" s="69"/>
    </row>
    <row r="174">
      <c r="A174" s="29"/>
      <c r="B174" s="29"/>
      <c r="G174" s="69"/>
    </row>
    <row r="175">
      <c r="A175" s="29"/>
      <c r="B175" s="29"/>
      <c r="G175" s="69"/>
    </row>
    <row r="176">
      <c r="A176" s="29"/>
      <c r="B176" s="29"/>
      <c r="G176" s="69"/>
    </row>
    <row r="177">
      <c r="A177" s="29"/>
      <c r="B177" s="29"/>
      <c r="G177" s="69"/>
    </row>
    <row r="178">
      <c r="A178" s="29"/>
      <c r="B178" s="29"/>
      <c r="G178" s="69"/>
    </row>
    <row r="179">
      <c r="A179" s="29"/>
      <c r="B179" s="29"/>
      <c r="G179" s="69"/>
    </row>
    <row r="180">
      <c r="A180" s="29"/>
      <c r="B180" s="29"/>
      <c r="G180" s="69"/>
    </row>
    <row r="181">
      <c r="A181" s="29"/>
      <c r="B181" s="29"/>
      <c r="G181" s="69"/>
    </row>
    <row r="182">
      <c r="A182" s="29"/>
      <c r="B182" s="29"/>
      <c r="G182" s="69"/>
    </row>
    <row r="183">
      <c r="A183" s="29"/>
      <c r="B183" s="29"/>
      <c r="G183" s="69"/>
    </row>
    <row r="184">
      <c r="A184" s="29"/>
      <c r="B184" s="29"/>
      <c r="G184" s="69"/>
    </row>
    <row r="185">
      <c r="A185" s="29"/>
      <c r="B185" s="29"/>
      <c r="G185" s="69"/>
    </row>
    <row r="186">
      <c r="A186" s="29"/>
      <c r="B186" s="29"/>
      <c r="G186" s="69"/>
    </row>
    <row r="187">
      <c r="A187" s="29"/>
      <c r="B187" s="29"/>
      <c r="G187" s="69"/>
    </row>
    <row r="188">
      <c r="A188" s="29"/>
      <c r="B188" s="29"/>
      <c r="G188" s="69"/>
    </row>
    <row r="189">
      <c r="A189" s="29"/>
      <c r="B189" s="29"/>
      <c r="G189" s="69"/>
    </row>
    <row r="190">
      <c r="A190" s="29"/>
      <c r="B190" s="29"/>
      <c r="G190" s="69"/>
    </row>
    <row r="191">
      <c r="A191" s="29"/>
      <c r="B191" s="29"/>
      <c r="G191" s="69"/>
    </row>
    <row r="192">
      <c r="A192" s="29"/>
      <c r="B192" s="29"/>
      <c r="G192" s="69"/>
    </row>
    <row r="193">
      <c r="A193" s="29"/>
      <c r="B193" s="29"/>
      <c r="G193" s="69"/>
    </row>
    <row r="194">
      <c r="A194" s="29"/>
      <c r="B194" s="29"/>
      <c r="G194" s="69"/>
    </row>
    <row r="195">
      <c r="A195" s="29"/>
      <c r="B195" s="29"/>
      <c r="G195" s="69"/>
    </row>
    <row r="196">
      <c r="A196" s="29"/>
      <c r="B196" s="29"/>
      <c r="G196" s="69"/>
    </row>
    <row r="197">
      <c r="A197" s="29"/>
      <c r="B197" s="29"/>
      <c r="G197" s="69"/>
    </row>
    <row r="198">
      <c r="A198" s="29"/>
      <c r="B198" s="29"/>
      <c r="G198" s="69"/>
    </row>
    <row r="199">
      <c r="A199" s="29"/>
      <c r="B199" s="29"/>
      <c r="G199" s="69"/>
    </row>
    <row r="200">
      <c r="A200" s="29"/>
      <c r="B200" s="29"/>
      <c r="G200" s="69"/>
    </row>
    <row r="201">
      <c r="A201" s="29"/>
      <c r="B201" s="29"/>
      <c r="G201" s="69"/>
    </row>
    <row r="202">
      <c r="A202" s="29"/>
      <c r="B202" s="29"/>
      <c r="G202" s="69"/>
    </row>
    <row r="203">
      <c r="A203" s="29"/>
      <c r="B203" s="29"/>
      <c r="G203" s="69"/>
    </row>
    <row r="204">
      <c r="A204" s="29"/>
      <c r="B204" s="29"/>
      <c r="G204" s="69"/>
    </row>
    <row r="205">
      <c r="A205" s="29"/>
      <c r="B205" s="29"/>
      <c r="G205" s="69"/>
    </row>
    <row r="206">
      <c r="A206" s="29"/>
      <c r="B206" s="29"/>
      <c r="G206" s="69"/>
    </row>
    <row r="207">
      <c r="A207" s="29"/>
      <c r="B207" s="29"/>
      <c r="G207" s="69"/>
    </row>
    <row r="208">
      <c r="A208" s="29"/>
      <c r="B208" s="29"/>
      <c r="G208" s="69"/>
    </row>
    <row r="209">
      <c r="A209" s="29"/>
      <c r="B209" s="29"/>
      <c r="G209" s="69"/>
    </row>
    <row r="210">
      <c r="A210" s="29"/>
      <c r="B210" s="29"/>
      <c r="G210" s="69"/>
    </row>
    <row r="211">
      <c r="A211" s="29"/>
      <c r="B211" s="29"/>
      <c r="G211" s="69"/>
    </row>
    <row r="212">
      <c r="A212" s="29"/>
      <c r="B212" s="29"/>
      <c r="G212" s="69"/>
    </row>
    <row r="213">
      <c r="A213" s="29"/>
      <c r="B213" s="29"/>
      <c r="G213" s="69"/>
    </row>
    <row r="214">
      <c r="A214" s="29"/>
      <c r="B214" s="29"/>
      <c r="G214" s="69"/>
    </row>
    <row r="215">
      <c r="A215" s="29"/>
      <c r="B215" s="29"/>
      <c r="G215" s="69"/>
    </row>
    <row r="216">
      <c r="A216" s="29"/>
      <c r="B216" s="29"/>
      <c r="G216" s="69"/>
    </row>
    <row r="217">
      <c r="A217" s="29"/>
      <c r="B217" s="29"/>
      <c r="G217" s="69"/>
    </row>
    <row r="218">
      <c r="A218" s="29"/>
      <c r="B218" s="29"/>
      <c r="G218" s="69"/>
    </row>
    <row r="219">
      <c r="A219" s="29"/>
      <c r="B219" s="29"/>
      <c r="G219" s="69"/>
    </row>
    <row r="220">
      <c r="A220" s="29"/>
      <c r="B220" s="29"/>
      <c r="G220" s="69"/>
    </row>
    <row r="221">
      <c r="A221" s="29"/>
      <c r="B221" s="29"/>
      <c r="G221" s="69"/>
    </row>
    <row r="222">
      <c r="A222" s="29"/>
      <c r="B222" s="29"/>
      <c r="G222" s="69"/>
    </row>
    <row r="223">
      <c r="A223" s="29"/>
      <c r="B223" s="29"/>
      <c r="G223" s="69"/>
    </row>
    <row r="224">
      <c r="A224" s="29"/>
      <c r="B224" s="29"/>
      <c r="G224" s="69"/>
    </row>
    <row r="225">
      <c r="A225" s="29"/>
      <c r="B225" s="29"/>
      <c r="G225" s="69"/>
    </row>
    <row r="226">
      <c r="A226" s="29"/>
      <c r="B226" s="29"/>
      <c r="G226" s="69"/>
    </row>
    <row r="227">
      <c r="A227" s="29"/>
      <c r="B227" s="29"/>
      <c r="G227" s="69"/>
    </row>
    <row r="228">
      <c r="A228" s="29"/>
      <c r="B228" s="29"/>
      <c r="G228" s="69"/>
    </row>
    <row r="229">
      <c r="A229" s="29"/>
      <c r="B229" s="29"/>
      <c r="G229" s="69"/>
    </row>
    <row r="230">
      <c r="A230" s="29"/>
      <c r="B230" s="29"/>
      <c r="G230" s="69"/>
    </row>
    <row r="231">
      <c r="A231" s="29"/>
      <c r="B231" s="29"/>
      <c r="G231" s="69"/>
    </row>
    <row r="232">
      <c r="A232" s="29"/>
      <c r="B232" s="29"/>
      <c r="G232" s="69"/>
    </row>
    <row r="233">
      <c r="A233" s="29"/>
      <c r="B233" s="29"/>
      <c r="G233" s="69"/>
    </row>
    <row r="234">
      <c r="A234" s="29"/>
      <c r="B234" s="29"/>
      <c r="G234" s="69"/>
    </row>
    <row r="235">
      <c r="A235" s="29"/>
      <c r="B235" s="29"/>
      <c r="G235" s="69"/>
    </row>
    <row r="236">
      <c r="A236" s="29"/>
      <c r="B236" s="29"/>
      <c r="G236" s="69"/>
    </row>
    <row r="237">
      <c r="A237" s="29"/>
      <c r="B237" s="29"/>
      <c r="G237" s="69"/>
    </row>
    <row r="238">
      <c r="A238" s="29"/>
      <c r="B238" s="29"/>
      <c r="G238" s="69"/>
    </row>
    <row r="239">
      <c r="A239" s="29"/>
      <c r="B239" s="29"/>
      <c r="G239" s="69"/>
    </row>
    <row r="240">
      <c r="A240" s="29"/>
      <c r="B240" s="29"/>
      <c r="G240" s="69"/>
    </row>
    <row r="241">
      <c r="A241" s="29"/>
      <c r="B241" s="29"/>
      <c r="G241" s="69"/>
    </row>
    <row r="242">
      <c r="A242" s="29"/>
      <c r="B242" s="29"/>
      <c r="G242" s="69"/>
    </row>
    <row r="243">
      <c r="A243" s="29"/>
      <c r="B243" s="29"/>
      <c r="G243" s="69"/>
    </row>
    <row r="244">
      <c r="A244" s="29"/>
      <c r="B244" s="29"/>
      <c r="G244" s="69"/>
    </row>
    <row r="245">
      <c r="A245" s="29"/>
      <c r="B245" s="29"/>
      <c r="G245" s="69"/>
    </row>
    <row r="246">
      <c r="A246" s="29"/>
      <c r="B246" s="29"/>
      <c r="G246" s="69"/>
    </row>
    <row r="247">
      <c r="A247" s="29"/>
      <c r="B247" s="29"/>
      <c r="G247" s="69"/>
    </row>
    <row r="248">
      <c r="A248" s="29"/>
      <c r="B248" s="29"/>
      <c r="G248" s="69"/>
    </row>
    <row r="249">
      <c r="A249" s="29"/>
      <c r="B249" s="29"/>
      <c r="G249" s="69"/>
    </row>
    <row r="250">
      <c r="A250" s="29"/>
      <c r="B250" s="29"/>
      <c r="G250" s="69"/>
    </row>
    <row r="251">
      <c r="A251" s="29"/>
      <c r="B251" s="29"/>
      <c r="G251" s="69"/>
    </row>
    <row r="252">
      <c r="A252" s="29"/>
      <c r="B252" s="29"/>
      <c r="G252" s="69"/>
    </row>
    <row r="253">
      <c r="A253" s="29"/>
      <c r="B253" s="29"/>
      <c r="G253" s="69"/>
    </row>
    <row r="254">
      <c r="A254" s="29"/>
      <c r="B254" s="29"/>
      <c r="G254" s="69"/>
    </row>
    <row r="255">
      <c r="A255" s="29"/>
      <c r="B255" s="29"/>
      <c r="G255" s="69"/>
    </row>
    <row r="256">
      <c r="A256" s="29"/>
      <c r="B256" s="29"/>
      <c r="G256" s="69"/>
    </row>
    <row r="257">
      <c r="A257" s="29"/>
      <c r="B257" s="29"/>
      <c r="G257" s="69"/>
    </row>
    <row r="258">
      <c r="A258" s="29"/>
      <c r="B258" s="29"/>
      <c r="G258" s="69"/>
    </row>
    <row r="259">
      <c r="A259" s="29"/>
      <c r="B259" s="29"/>
      <c r="G259" s="69"/>
    </row>
    <row r="260">
      <c r="A260" s="29"/>
      <c r="B260" s="29"/>
      <c r="G260" s="69"/>
    </row>
    <row r="261">
      <c r="A261" s="29"/>
      <c r="B261" s="29"/>
      <c r="G261" s="69"/>
    </row>
    <row r="262">
      <c r="A262" s="29"/>
      <c r="B262" s="29"/>
      <c r="G262" s="69"/>
    </row>
    <row r="263">
      <c r="A263" s="29"/>
      <c r="B263" s="29"/>
      <c r="G263" s="69"/>
    </row>
    <row r="264">
      <c r="A264" s="29"/>
      <c r="B264" s="29"/>
      <c r="G264" s="69"/>
    </row>
    <row r="265">
      <c r="A265" s="29"/>
      <c r="B265" s="29"/>
      <c r="G265" s="69"/>
    </row>
    <row r="266">
      <c r="A266" s="29"/>
      <c r="B266" s="29"/>
      <c r="G266" s="69"/>
    </row>
    <row r="267">
      <c r="A267" s="29"/>
      <c r="B267" s="29"/>
      <c r="G267" s="69"/>
    </row>
    <row r="268">
      <c r="A268" s="29"/>
      <c r="B268" s="29"/>
      <c r="G268" s="69"/>
    </row>
    <row r="269">
      <c r="A269" s="29"/>
      <c r="B269" s="29"/>
      <c r="G269" s="69"/>
    </row>
    <row r="270">
      <c r="A270" s="29"/>
      <c r="B270" s="29"/>
      <c r="G270" s="69"/>
    </row>
    <row r="271">
      <c r="A271" s="29"/>
      <c r="B271" s="29"/>
      <c r="G271" s="69"/>
    </row>
    <row r="272">
      <c r="A272" s="29"/>
      <c r="B272" s="29"/>
      <c r="G272" s="69"/>
    </row>
    <row r="273">
      <c r="A273" s="29"/>
      <c r="B273" s="29"/>
      <c r="G273" s="69"/>
    </row>
    <row r="274">
      <c r="A274" s="29"/>
      <c r="B274" s="29"/>
      <c r="G274" s="69"/>
    </row>
    <row r="275">
      <c r="A275" s="29"/>
      <c r="B275" s="29"/>
      <c r="G275" s="69"/>
    </row>
    <row r="276">
      <c r="A276" s="29"/>
      <c r="B276" s="29"/>
      <c r="G276" s="69"/>
    </row>
    <row r="277">
      <c r="A277" s="29"/>
      <c r="B277" s="29"/>
      <c r="G277" s="69"/>
    </row>
    <row r="278">
      <c r="A278" s="29"/>
      <c r="B278" s="29"/>
      <c r="G278" s="69"/>
    </row>
    <row r="279">
      <c r="A279" s="29"/>
      <c r="B279" s="29"/>
      <c r="G279" s="69"/>
    </row>
    <row r="280">
      <c r="A280" s="29"/>
      <c r="B280" s="29"/>
      <c r="G280" s="69"/>
    </row>
    <row r="281">
      <c r="A281" s="29"/>
      <c r="B281" s="29"/>
      <c r="G281" s="69"/>
    </row>
    <row r="282">
      <c r="A282" s="29"/>
      <c r="B282" s="29"/>
      <c r="G282" s="69"/>
    </row>
    <row r="283">
      <c r="A283" s="29"/>
      <c r="B283" s="29"/>
      <c r="G283" s="69"/>
    </row>
    <row r="284">
      <c r="A284" s="29"/>
      <c r="B284" s="29"/>
      <c r="G284" s="69"/>
    </row>
    <row r="285">
      <c r="A285" s="29"/>
      <c r="B285" s="29"/>
      <c r="G285" s="69"/>
    </row>
    <row r="286">
      <c r="A286" s="29"/>
      <c r="B286" s="29"/>
      <c r="G286" s="69"/>
    </row>
    <row r="287">
      <c r="A287" s="29"/>
      <c r="B287" s="29"/>
      <c r="G287" s="69"/>
    </row>
    <row r="288">
      <c r="A288" s="29"/>
      <c r="B288" s="29"/>
      <c r="G288" s="69"/>
    </row>
    <row r="289">
      <c r="A289" s="29"/>
      <c r="B289" s="29"/>
      <c r="G289" s="69"/>
    </row>
    <row r="290">
      <c r="A290" s="29"/>
      <c r="B290" s="29"/>
      <c r="G290" s="69"/>
    </row>
    <row r="291">
      <c r="A291" s="29"/>
      <c r="B291" s="29"/>
      <c r="G291" s="69"/>
    </row>
    <row r="292">
      <c r="A292" s="29"/>
      <c r="B292" s="29"/>
      <c r="G292" s="69"/>
    </row>
    <row r="293">
      <c r="A293" s="29"/>
      <c r="B293" s="29"/>
      <c r="G293" s="69"/>
    </row>
    <row r="294">
      <c r="A294" s="29"/>
      <c r="B294" s="29"/>
      <c r="G294" s="69"/>
    </row>
    <row r="295">
      <c r="A295" s="29"/>
      <c r="B295" s="29"/>
      <c r="G295" s="69"/>
    </row>
    <row r="296">
      <c r="A296" s="29"/>
      <c r="B296" s="29"/>
      <c r="G296" s="69"/>
    </row>
    <row r="297">
      <c r="A297" s="29"/>
      <c r="B297" s="29"/>
      <c r="G297" s="69"/>
    </row>
    <row r="298">
      <c r="A298" s="29"/>
      <c r="B298" s="29"/>
      <c r="G298" s="69"/>
    </row>
    <row r="299">
      <c r="A299" s="29"/>
      <c r="B299" s="29"/>
      <c r="G299" s="69"/>
    </row>
    <row r="300">
      <c r="A300" s="29"/>
      <c r="B300" s="29"/>
      <c r="G300" s="69"/>
    </row>
    <row r="301">
      <c r="A301" s="29"/>
      <c r="B301" s="29"/>
      <c r="G301" s="69"/>
    </row>
    <row r="302">
      <c r="A302" s="29"/>
      <c r="B302" s="29"/>
      <c r="G302" s="69"/>
    </row>
    <row r="303">
      <c r="A303" s="29"/>
      <c r="B303" s="29"/>
      <c r="G303" s="69"/>
    </row>
    <row r="304">
      <c r="A304" s="29"/>
      <c r="B304" s="29"/>
      <c r="G304" s="69"/>
    </row>
    <row r="305">
      <c r="A305" s="29"/>
      <c r="B305" s="29"/>
      <c r="G305" s="69"/>
    </row>
    <row r="306">
      <c r="A306" s="29"/>
      <c r="B306" s="29"/>
      <c r="G306" s="69"/>
    </row>
    <row r="307">
      <c r="A307" s="29"/>
      <c r="B307" s="29"/>
      <c r="G307" s="69"/>
    </row>
    <row r="308">
      <c r="A308" s="29"/>
      <c r="B308" s="29"/>
      <c r="G308" s="69"/>
    </row>
    <row r="309">
      <c r="A309" s="29"/>
      <c r="B309" s="29"/>
      <c r="G309" s="69"/>
    </row>
    <row r="310">
      <c r="A310" s="29"/>
      <c r="B310" s="29"/>
      <c r="G310" s="69"/>
    </row>
    <row r="311">
      <c r="A311" s="29"/>
      <c r="B311" s="29"/>
      <c r="G311" s="69"/>
    </row>
    <row r="312">
      <c r="A312" s="29"/>
      <c r="B312" s="29"/>
      <c r="G312" s="69"/>
    </row>
    <row r="313">
      <c r="A313" s="29"/>
      <c r="B313" s="29"/>
      <c r="G313" s="69"/>
    </row>
    <row r="314">
      <c r="A314" s="29"/>
      <c r="B314" s="29"/>
      <c r="G314" s="69"/>
    </row>
    <row r="315">
      <c r="A315" s="29"/>
      <c r="B315" s="29"/>
      <c r="G315" s="69"/>
    </row>
    <row r="316">
      <c r="A316" s="29"/>
      <c r="B316" s="29"/>
      <c r="G316" s="69"/>
    </row>
    <row r="317">
      <c r="A317" s="29"/>
      <c r="B317" s="29"/>
      <c r="G317" s="69"/>
    </row>
    <row r="318">
      <c r="A318" s="29"/>
      <c r="B318" s="29"/>
      <c r="G318" s="69"/>
    </row>
    <row r="319">
      <c r="A319" s="29"/>
      <c r="B319" s="29"/>
      <c r="G319" s="69"/>
    </row>
    <row r="320">
      <c r="A320" s="29"/>
      <c r="B320" s="29"/>
      <c r="G320" s="69"/>
    </row>
    <row r="321">
      <c r="A321" s="29"/>
      <c r="B321" s="29"/>
      <c r="G321" s="69"/>
    </row>
    <row r="322">
      <c r="A322" s="29"/>
      <c r="B322" s="29"/>
      <c r="G322" s="69"/>
    </row>
    <row r="323">
      <c r="A323" s="29"/>
      <c r="B323" s="29"/>
      <c r="G323" s="69"/>
    </row>
    <row r="324">
      <c r="A324" s="29"/>
      <c r="B324" s="29"/>
      <c r="G324" s="69"/>
    </row>
    <row r="325">
      <c r="A325" s="29"/>
      <c r="B325" s="29"/>
      <c r="G325" s="69"/>
    </row>
    <row r="326">
      <c r="A326" s="29"/>
      <c r="B326" s="29"/>
      <c r="G326" s="69"/>
    </row>
    <row r="327">
      <c r="A327" s="29"/>
      <c r="B327" s="29"/>
      <c r="G327" s="69"/>
    </row>
    <row r="328">
      <c r="A328" s="29"/>
      <c r="B328" s="29"/>
      <c r="G328" s="69"/>
    </row>
    <row r="329">
      <c r="A329" s="29"/>
      <c r="B329" s="29"/>
      <c r="G329" s="69"/>
    </row>
    <row r="330">
      <c r="A330" s="29"/>
      <c r="B330" s="29"/>
      <c r="G330" s="69"/>
    </row>
    <row r="331">
      <c r="A331" s="29"/>
      <c r="B331" s="29"/>
      <c r="G331" s="69"/>
    </row>
    <row r="332">
      <c r="A332" s="29"/>
      <c r="B332" s="29"/>
      <c r="G332" s="69"/>
    </row>
    <row r="333">
      <c r="A333" s="29"/>
      <c r="B333" s="29"/>
      <c r="G333" s="69"/>
    </row>
    <row r="334">
      <c r="A334" s="29"/>
      <c r="B334" s="29"/>
      <c r="G334" s="69"/>
    </row>
    <row r="335">
      <c r="A335" s="29"/>
      <c r="B335" s="29"/>
      <c r="G335" s="69"/>
    </row>
    <row r="336">
      <c r="A336" s="29"/>
      <c r="B336" s="29"/>
      <c r="G336" s="69"/>
    </row>
    <row r="337">
      <c r="A337" s="29"/>
      <c r="B337" s="29"/>
      <c r="G337" s="69"/>
    </row>
    <row r="338">
      <c r="A338" s="29"/>
      <c r="B338" s="29"/>
      <c r="G338" s="69"/>
    </row>
    <row r="339">
      <c r="A339" s="29"/>
      <c r="B339" s="29"/>
      <c r="G339" s="69"/>
    </row>
    <row r="340">
      <c r="A340" s="29"/>
      <c r="B340" s="29"/>
      <c r="G340" s="69"/>
    </row>
    <row r="341">
      <c r="A341" s="29"/>
      <c r="B341" s="29"/>
      <c r="G341" s="69"/>
    </row>
    <row r="342">
      <c r="A342" s="29"/>
      <c r="B342" s="29"/>
      <c r="G342" s="69"/>
    </row>
    <row r="343">
      <c r="A343" s="29"/>
      <c r="B343" s="29"/>
      <c r="G343" s="69"/>
    </row>
    <row r="344">
      <c r="A344" s="29"/>
      <c r="B344" s="29"/>
      <c r="G344" s="69"/>
    </row>
    <row r="345">
      <c r="A345" s="29"/>
      <c r="B345" s="29"/>
      <c r="G345" s="69"/>
    </row>
    <row r="346">
      <c r="A346" s="29"/>
      <c r="B346" s="29"/>
      <c r="G346" s="69"/>
    </row>
    <row r="347">
      <c r="A347" s="29"/>
      <c r="B347" s="29"/>
      <c r="G347" s="69"/>
    </row>
    <row r="348">
      <c r="A348" s="29"/>
      <c r="B348" s="29"/>
      <c r="G348" s="69"/>
    </row>
    <row r="349">
      <c r="A349" s="29"/>
      <c r="B349" s="29"/>
      <c r="G349" s="69"/>
    </row>
    <row r="350">
      <c r="A350" s="29"/>
      <c r="B350" s="29"/>
      <c r="G350" s="69"/>
    </row>
    <row r="351">
      <c r="A351" s="29"/>
      <c r="B351" s="29"/>
      <c r="G351" s="69"/>
    </row>
    <row r="352">
      <c r="A352" s="29"/>
      <c r="B352" s="29"/>
      <c r="G352" s="69"/>
    </row>
    <row r="353">
      <c r="A353" s="29"/>
      <c r="B353" s="29"/>
      <c r="G353" s="69"/>
    </row>
    <row r="354">
      <c r="A354" s="29"/>
      <c r="B354" s="29"/>
      <c r="G354" s="69"/>
    </row>
    <row r="355">
      <c r="A355" s="29"/>
      <c r="B355" s="29"/>
      <c r="G355" s="69"/>
    </row>
    <row r="356">
      <c r="A356" s="29"/>
      <c r="B356" s="29"/>
      <c r="G356" s="69"/>
    </row>
    <row r="357">
      <c r="A357" s="29"/>
      <c r="B357" s="29"/>
      <c r="G357" s="69"/>
    </row>
    <row r="358">
      <c r="A358" s="29"/>
      <c r="B358" s="29"/>
      <c r="G358" s="69"/>
    </row>
    <row r="359">
      <c r="A359" s="29"/>
      <c r="B359" s="29"/>
      <c r="G359" s="69"/>
    </row>
    <row r="360">
      <c r="A360" s="29"/>
      <c r="B360" s="29"/>
      <c r="G360" s="69"/>
    </row>
    <row r="361">
      <c r="A361" s="29"/>
      <c r="B361" s="29"/>
      <c r="G361" s="69"/>
    </row>
    <row r="362">
      <c r="A362" s="29"/>
      <c r="B362" s="29"/>
      <c r="G362" s="69"/>
    </row>
    <row r="363">
      <c r="A363" s="29"/>
      <c r="B363" s="29"/>
      <c r="G363" s="69"/>
    </row>
    <row r="364">
      <c r="A364" s="29"/>
      <c r="B364" s="29"/>
      <c r="G364" s="69"/>
    </row>
    <row r="365">
      <c r="A365" s="29"/>
      <c r="B365" s="29"/>
      <c r="G365" s="69"/>
    </row>
    <row r="366">
      <c r="A366" s="29"/>
      <c r="B366" s="29"/>
      <c r="G366" s="69"/>
    </row>
    <row r="367">
      <c r="A367" s="29"/>
      <c r="B367" s="29"/>
      <c r="G367" s="69"/>
    </row>
    <row r="368">
      <c r="A368" s="29"/>
      <c r="B368" s="29"/>
      <c r="G368" s="69"/>
    </row>
    <row r="369">
      <c r="A369" s="29"/>
      <c r="B369" s="29"/>
      <c r="G369" s="69"/>
    </row>
    <row r="370">
      <c r="A370" s="29"/>
      <c r="B370" s="29"/>
      <c r="G370" s="69"/>
    </row>
    <row r="371">
      <c r="A371" s="29"/>
      <c r="B371" s="29"/>
      <c r="G371" s="69"/>
    </row>
    <row r="372">
      <c r="A372" s="29"/>
      <c r="B372" s="29"/>
      <c r="G372" s="69"/>
    </row>
    <row r="373">
      <c r="A373" s="29"/>
      <c r="B373" s="29"/>
      <c r="G373" s="69"/>
    </row>
    <row r="374">
      <c r="A374" s="29"/>
      <c r="B374" s="29"/>
      <c r="G374" s="69"/>
    </row>
    <row r="375">
      <c r="A375" s="29"/>
      <c r="B375" s="29"/>
      <c r="G375" s="69"/>
    </row>
    <row r="376">
      <c r="A376" s="29"/>
      <c r="B376" s="29"/>
      <c r="G376" s="69"/>
    </row>
    <row r="377">
      <c r="A377" s="29"/>
      <c r="B377" s="29"/>
      <c r="G377" s="69"/>
    </row>
    <row r="378">
      <c r="A378" s="29"/>
      <c r="B378" s="29"/>
      <c r="G378" s="69"/>
    </row>
    <row r="379">
      <c r="A379" s="29"/>
      <c r="B379" s="29"/>
      <c r="G379" s="69"/>
    </row>
    <row r="380">
      <c r="A380" s="29"/>
      <c r="B380" s="29"/>
      <c r="G380" s="69"/>
    </row>
    <row r="381">
      <c r="A381" s="29"/>
      <c r="B381" s="29"/>
      <c r="G381" s="69"/>
    </row>
    <row r="382">
      <c r="A382" s="29"/>
      <c r="B382" s="29"/>
      <c r="G382" s="69"/>
    </row>
    <row r="383">
      <c r="A383" s="29"/>
      <c r="B383" s="29"/>
      <c r="G383" s="69"/>
    </row>
    <row r="384">
      <c r="A384" s="29"/>
      <c r="B384" s="29"/>
      <c r="G384" s="69"/>
    </row>
    <row r="385">
      <c r="A385" s="29"/>
      <c r="B385" s="29"/>
      <c r="G385" s="69"/>
    </row>
    <row r="386">
      <c r="A386" s="29"/>
      <c r="B386" s="29"/>
      <c r="G386" s="69"/>
    </row>
    <row r="387">
      <c r="A387" s="29"/>
      <c r="B387" s="29"/>
      <c r="G387" s="69"/>
    </row>
    <row r="388">
      <c r="A388" s="29"/>
      <c r="B388" s="29"/>
      <c r="G388" s="69"/>
    </row>
    <row r="389">
      <c r="A389" s="29"/>
      <c r="B389" s="29"/>
      <c r="G389" s="69"/>
    </row>
    <row r="390">
      <c r="A390" s="29"/>
      <c r="B390" s="29"/>
      <c r="G390" s="69"/>
    </row>
    <row r="391">
      <c r="A391" s="29"/>
      <c r="B391" s="29"/>
      <c r="G391" s="69"/>
    </row>
    <row r="392">
      <c r="A392" s="29"/>
      <c r="B392" s="29"/>
      <c r="G392" s="69"/>
    </row>
    <row r="393">
      <c r="A393" s="29"/>
      <c r="B393" s="29"/>
      <c r="G393" s="69"/>
    </row>
    <row r="394">
      <c r="A394" s="29"/>
      <c r="B394" s="29"/>
      <c r="G394" s="69"/>
    </row>
    <row r="395">
      <c r="A395" s="29"/>
      <c r="B395" s="29"/>
      <c r="G395" s="69"/>
    </row>
    <row r="396">
      <c r="A396" s="29"/>
      <c r="B396" s="29"/>
      <c r="G396" s="69"/>
    </row>
    <row r="397">
      <c r="A397" s="29"/>
      <c r="B397" s="29"/>
      <c r="G397" s="69"/>
    </row>
    <row r="398">
      <c r="A398" s="29"/>
      <c r="B398" s="29"/>
      <c r="G398" s="69"/>
    </row>
    <row r="399">
      <c r="A399" s="29"/>
      <c r="B399" s="29"/>
      <c r="G399" s="69"/>
    </row>
    <row r="400">
      <c r="A400" s="29"/>
      <c r="B400" s="29"/>
      <c r="G400" s="69"/>
    </row>
    <row r="401">
      <c r="A401" s="29"/>
      <c r="B401" s="29"/>
      <c r="G401" s="69"/>
    </row>
    <row r="402">
      <c r="A402" s="29"/>
      <c r="B402" s="29"/>
      <c r="G402" s="69"/>
    </row>
    <row r="403">
      <c r="A403" s="29"/>
      <c r="B403" s="29"/>
      <c r="G403" s="69"/>
    </row>
    <row r="404">
      <c r="A404" s="29"/>
      <c r="B404" s="29"/>
      <c r="G404" s="69"/>
    </row>
    <row r="405">
      <c r="A405" s="29"/>
      <c r="B405" s="29"/>
      <c r="G405" s="69"/>
    </row>
    <row r="406">
      <c r="A406" s="29"/>
      <c r="B406" s="29"/>
      <c r="G406" s="69"/>
    </row>
    <row r="407">
      <c r="A407" s="29"/>
      <c r="B407" s="29"/>
      <c r="G407" s="69"/>
    </row>
    <row r="408">
      <c r="A408" s="29"/>
      <c r="B408" s="29"/>
      <c r="G408" s="69"/>
    </row>
    <row r="409">
      <c r="A409" s="29"/>
      <c r="B409" s="29"/>
      <c r="G409" s="69"/>
    </row>
    <row r="410">
      <c r="A410" s="29"/>
      <c r="B410" s="29"/>
      <c r="G410" s="69"/>
    </row>
    <row r="411">
      <c r="A411" s="29"/>
      <c r="B411" s="29"/>
      <c r="G411" s="69"/>
    </row>
    <row r="412">
      <c r="A412" s="29"/>
      <c r="B412" s="29"/>
      <c r="G412" s="69"/>
    </row>
    <row r="413">
      <c r="A413" s="29"/>
      <c r="B413" s="29"/>
      <c r="G413" s="69"/>
    </row>
    <row r="414">
      <c r="A414" s="29"/>
      <c r="B414" s="29"/>
      <c r="G414" s="69"/>
    </row>
    <row r="415">
      <c r="A415" s="29"/>
      <c r="B415" s="29"/>
      <c r="G415" s="69"/>
    </row>
    <row r="416">
      <c r="A416" s="29"/>
      <c r="B416" s="29"/>
      <c r="G416" s="69"/>
    </row>
    <row r="417">
      <c r="A417" s="29"/>
      <c r="B417" s="29"/>
      <c r="G417" s="69"/>
    </row>
    <row r="418">
      <c r="A418" s="29"/>
      <c r="B418" s="29"/>
      <c r="G418" s="69"/>
    </row>
    <row r="419">
      <c r="A419" s="29"/>
      <c r="B419" s="29"/>
      <c r="G419" s="69"/>
    </row>
    <row r="420">
      <c r="A420" s="29"/>
      <c r="B420" s="29"/>
      <c r="G420" s="69"/>
    </row>
    <row r="421">
      <c r="A421" s="29"/>
      <c r="B421" s="29"/>
      <c r="G421" s="69"/>
    </row>
    <row r="422">
      <c r="A422" s="29"/>
      <c r="B422" s="29"/>
      <c r="G422" s="69"/>
    </row>
    <row r="423">
      <c r="A423" s="29"/>
      <c r="B423" s="29"/>
      <c r="G423" s="69"/>
    </row>
    <row r="424">
      <c r="A424" s="29"/>
      <c r="B424" s="29"/>
      <c r="G424" s="69"/>
    </row>
    <row r="425">
      <c r="A425" s="29"/>
      <c r="B425" s="29"/>
      <c r="G425" s="69"/>
    </row>
    <row r="426">
      <c r="A426" s="29"/>
      <c r="B426" s="29"/>
      <c r="G426" s="69"/>
    </row>
    <row r="427">
      <c r="A427" s="29"/>
      <c r="B427" s="29"/>
      <c r="G427" s="69"/>
    </row>
    <row r="428">
      <c r="A428" s="29"/>
      <c r="B428" s="29"/>
      <c r="G428" s="69"/>
    </row>
    <row r="429">
      <c r="A429" s="29"/>
      <c r="B429" s="29"/>
      <c r="G429" s="69"/>
    </row>
    <row r="430">
      <c r="A430" s="29"/>
      <c r="B430" s="29"/>
      <c r="G430" s="69"/>
    </row>
    <row r="431">
      <c r="A431" s="29"/>
      <c r="B431" s="29"/>
      <c r="G431" s="69"/>
    </row>
    <row r="432">
      <c r="A432" s="29"/>
      <c r="B432" s="29"/>
      <c r="G432" s="69"/>
    </row>
    <row r="433">
      <c r="A433" s="29"/>
      <c r="B433" s="29"/>
      <c r="G433" s="69"/>
    </row>
    <row r="434">
      <c r="A434" s="29"/>
      <c r="B434" s="29"/>
      <c r="G434" s="69"/>
    </row>
    <row r="435">
      <c r="A435" s="29"/>
      <c r="B435" s="29"/>
      <c r="G435" s="69"/>
    </row>
    <row r="436">
      <c r="A436" s="29"/>
      <c r="B436" s="29"/>
      <c r="G436" s="69"/>
    </row>
    <row r="437">
      <c r="A437" s="29"/>
      <c r="B437" s="29"/>
      <c r="G437" s="69"/>
    </row>
    <row r="438">
      <c r="A438" s="29"/>
      <c r="B438" s="29"/>
      <c r="G438" s="69"/>
    </row>
    <row r="439">
      <c r="A439" s="29"/>
      <c r="B439" s="29"/>
      <c r="G439" s="69"/>
    </row>
    <row r="440">
      <c r="A440" s="29"/>
      <c r="B440" s="29"/>
      <c r="G440" s="69"/>
    </row>
    <row r="441">
      <c r="A441" s="29"/>
      <c r="B441" s="29"/>
      <c r="G441" s="69"/>
    </row>
    <row r="442">
      <c r="A442" s="29"/>
      <c r="B442" s="29"/>
      <c r="G442" s="69"/>
    </row>
    <row r="443">
      <c r="A443" s="29"/>
      <c r="B443" s="29"/>
      <c r="G443" s="69"/>
    </row>
    <row r="444">
      <c r="A444" s="29"/>
      <c r="B444" s="29"/>
      <c r="G444" s="69"/>
    </row>
    <row r="445">
      <c r="A445" s="29"/>
      <c r="B445" s="29"/>
      <c r="G445" s="69"/>
    </row>
    <row r="446">
      <c r="A446" s="29"/>
      <c r="B446" s="29"/>
      <c r="G446" s="69"/>
    </row>
    <row r="447">
      <c r="A447" s="29"/>
      <c r="B447" s="29"/>
      <c r="G447" s="69"/>
    </row>
    <row r="448">
      <c r="A448" s="29"/>
      <c r="B448" s="29"/>
      <c r="G448" s="69"/>
    </row>
    <row r="449">
      <c r="A449" s="29"/>
      <c r="B449" s="29"/>
      <c r="G449" s="69"/>
    </row>
    <row r="450">
      <c r="A450" s="29"/>
      <c r="B450" s="29"/>
      <c r="G450" s="69"/>
    </row>
    <row r="451">
      <c r="A451" s="29"/>
      <c r="B451" s="29"/>
      <c r="G451" s="69"/>
    </row>
    <row r="452">
      <c r="A452" s="29"/>
      <c r="B452" s="29"/>
      <c r="G452" s="69"/>
    </row>
    <row r="453">
      <c r="A453" s="29"/>
      <c r="B453" s="29"/>
      <c r="G453" s="69"/>
    </row>
    <row r="454">
      <c r="A454" s="29"/>
      <c r="B454" s="29"/>
      <c r="G454" s="69"/>
    </row>
    <row r="455">
      <c r="A455" s="29"/>
      <c r="B455" s="29"/>
      <c r="G455" s="69"/>
    </row>
    <row r="456">
      <c r="A456" s="29"/>
      <c r="B456" s="29"/>
      <c r="G456" s="69"/>
    </row>
    <row r="457">
      <c r="A457" s="29"/>
      <c r="B457" s="29"/>
      <c r="G457" s="69"/>
    </row>
    <row r="458">
      <c r="A458" s="29"/>
      <c r="B458" s="29"/>
      <c r="G458" s="69"/>
    </row>
    <row r="459">
      <c r="A459" s="29"/>
      <c r="B459" s="29"/>
      <c r="G459" s="69"/>
    </row>
    <row r="460">
      <c r="A460" s="29"/>
      <c r="B460" s="29"/>
      <c r="G460" s="69"/>
    </row>
    <row r="461">
      <c r="A461" s="29"/>
      <c r="B461" s="29"/>
      <c r="G461" s="69"/>
    </row>
    <row r="462">
      <c r="A462" s="29"/>
      <c r="B462" s="29"/>
      <c r="G462" s="69"/>
    </row>
    <row r="463">
      <c r="A463" s="29"/>
      <c r="B463" s="29"/>
      <c r="G463" s="69"/>
    </row>
    <row r="464">
      <c r="A464" s="29"/>
      <c r="B464" s="29"/>
      <c r="G464" s="69"/>
    </row>
    <row r="465">
      <c r="A465" s="29"/>
      <c r="B465" s="29"/>
      <c r="G465" s="69"/>
    </row>
    <row r="466">
      <c r="A466" s="29"/>
      <c r="B466" s="29"/>
      <c r="G466" s="69"/>
    </row>
    <row r="467">
      <c r="A467" s="29"/>
      <c r="B467" s="29"/>
      <c r="G467" s="69"/>
    </row>
    <row r="468">
      <c r="A468" s="29"/>
      <c r="B468" s="29"/>
      <c r="G468" s="69"/>
    </row>
    <row r="469">
      <c r="A469" s="29"/>
      <c r="B469" s="29"/>
      <c r="G469" s="69"/>
    </row>
    <row r="470">
      <c r="A470" s="29"/>
      <c r="B470" s="29"/>
      <c r="G470" s="69"/>
    </row>
    <row r="471">
      <c r="A471" s="29"/>
      <c r="B471" s="29"/>
      <c r="G471" s="69"/>
    </row>
    <row r="472">
      <c r="A472" s="29"/>
      <c r="B472" s="29"/>
      <c r="G472" s="69"/>
    </row>
    <row r="473">
      <c r="A473" s="29"/>
      <c r="B473" s="29"/>
      <c r="G473" s="69"/>
    </row>
    <row r="474">
      <c r="A474" s="29"/>
      <c r="B474" s="29"/>
      <c r="G474" s="69"/>
    </row>
    <row r="475">
      <c r="A475" s="29"/>
      <c r="B475" s="29"/>
      <c r="G475" s="69"/>
    </row>
    <row r="476">
      <c r="A476" s="29"/>
      <c r="B476" s="29"/>
      <c r="G476" s="69"/>
    </row>
    <row r="477">
      <c r="A477" s="29"/>
      <c r="B477" s="29"/>
      <c r="G477" s="69"/>
    </row>
    <row r="478">
      <c r="A478" s="29"/>
      <c r="B478" s="29"/>
      <c r="G478" s="69"/>
    </row>
    <row r="479">
      <c r="A479" s="29"/>
      <c r="B479" s="29"/>
      <c r="G479" s="69"/>
    </row>
    <row r="480">
      <c r="A480" s="29"/>
      <c r="B480" s="29"/>
      <c r="G480" s="69"/>
    </row>
    <row r="481">
      <c r="A481" s="29"/>
      <c r="B481" s="29"/>
      <c r="G481" s="69"/>
    </row>
    <row r="482">
      <c r="A482" s="29"/>
      <c r="B482" s="29"/>
      <c r="G482" s="69"/>
    </row>
    <row r="483">
      <c r="A483" s="29"/>
      <c r="B483" s="29"/>
      <c r="G483" s="69"/>
    </row>
    <row r="484">
      <c r="A484" s="29"/>
      <c r="B484" s="29"/>
      <c r="G484" s="69"/>
    </row>
    <row r="485">
      <c r="A485" s="29"/>
      <c r="B485" s="29"/>
      <c r="G485" s="69"/>
    </row>
    <row r="486">
      <c r="A486" s="29"/>
      <c r="B486" s="29"/>
      <c r="G486" s="69"/>
    </row>
    <row r="487">
      <c r="A487" s="29"/>
      <c r="B487" s="29"/>
      <c r="G487" s="69"/>
    </row>
    <row r="488">
      <c r="A488" s="29"/>
      <c r="B488" s="29"/>
      <c r="G488" s="69"/>
    </row>
    <row r="489">
      <c r="A489" s="29"/>
      <c r="B489" s="29"/>
      <c r="G489" s="69"/>
    </row>
    <row r="490">
      <c r="A490" s="29"/>
      <c r="B490" s="29"/>
      <c r="G490" s="69"/>
    </row>
    <row r="491">
      <c r="A491" s="29"/>
      <c r="B491" s="29"/>
      <c r="G491" s="69"/>
    </row>
    <row r="492">
      <c r="A492" s="29"/>
      <c r="B492" s="29"/>
      <c r="G492" s="69"/>
    </row>
    <row r="493">
      <c r="A493" s="29"/>
      <c r="B493" s="29"/>
      <c r="G493" s="69"/>
    </row>
    <row r="494">
      <c r="A494" s="29"/>
      <c r="B494" s="29"/>
      <c r="G494" s="69"/>
    </row>
    <row r="495">
      <c r="A495" s="29"/>
      <c r="B495" s="29"/>
      <c r="G495" s="69"/>
    </row>
    <row r="496">
      <c r="A496" s="29"/>
      <c r="B496" s="29"/>
      <c r="G496" s="69"/>
    </row>
    <row r="497">
      <c r="A497" s="29"/>
      <c r="B497" s="29"/>
      <c r="G497" s="69"/>
    </row>
    <row r="498">
      <c r="A498" s="29"/>
      <c r="B498" s="29"/>
      <c r="G498" s="69"/>
    </row>
    <row r="499">
      <c r="A499" s="29"/>
      <c r="B499" s="29"/>
      <c r="G499" s="69"/>
    </row>
    <row r="500">
      <c r="A500" s="29"/>
      <c r="B500" s="29"/>
      <c r="G500" s="69"/>
    </row>
    <row r="501">
      <c r="A501" s="29"/>
      <c r="B501" s="29"/>
      <c r="G501" s="69"/>
    </row>
    <row r="502">
      <c r="A502" s="29"/>
      <c r="B502" s="29"/>
      <c r="G502" s="69"/>
    </row>
    <row r="503">
      <c r="A503" s="29"/>
      <c r="B503" s="29"/>
      <c r="G503" s="69"/>
    </row>
    <row r="504">
      <c r="A504" s="29"/>
      <c r="B504" s="29"/>
      <c r="G504" s="69"/>
    </row>
    <row r="505">
      <c r="A505" s="29"/>
      <c r="B505" s="29"/>
      <c r="G505" s="69"/>
    </row>
    <row r="506">
      <c r="A506" s="29"/>
      <c r="B506" s="29"/>
      <c r="G506" s="69"/>
    </row>
    <row r="507">
      <c r="A507" s="29"/>
      <c r="B507" s="29"/>
      <c r="G507" s="69"/>
    </row>
    <row r="508">
      <c r="A508" s="29"/>
      <c r="B508" s="29"/>
      <c r="G508" s="69"/>
    </row>
    <row r="509">
      <c r="A509" s="29"/>
      <c r="B509" s="29"/>
      <c r="G509" s="69"/>
    </row>
    <row r="510">
      <c r="A510" s="29"/>
      <c r="B510" s="29"/>
      <c r="G510" s="69"/>
    </row>
    <row r="511">
      <c r="A511" s="29"/>
      <c r="B511" s="29"/>
      <c r="G511" s="69"/>
    </row>
    <row r="512">
      <c r="A512" s="29"/>
      <c r="B512" s="29"/>
      <c r="G512" s="69"/>
    </row>
    <row r="513">
      <c r="A513" s="29"/>
      <c r="B513" s="29"/>
      <c r="G513" s="69"/>
    </row>
    <row r="514">
      <c r="A514" s="29"/>
      <c r="B514" s="29"/>
      <c r="G514" s="69"/>
    </row>
    <row r="515">
      <c r="A515" s="29"/>
      <c r="B515" s="29"/>
      <c r="G515" s="69"/>
    </row>
    <row r="516">
      <c r="A516" s="29"/>
      <c r="B516" s="29"/>
      <c r="G516" s="69"/>
    </row>
    <row r="517">
      <c r="A517" s="29"/>
      <c r="B517" s="29"/>
      <c r="G517" s="69"/>
    </row>
    <row r="518">
      <c r="A518" s="29"/>
      <c r="B518" s="29"/>
      <c r="G518" s="69"/>
    </row>
    <row r="519">
      <c r="A519" s="29"/>
      <c r="B519" s="29"/>
      <c r="G519" s="69"/>
    </row>
    <row r="520">
      <c r="A520" s="29"/>
      <c r="B520" s="29"/>
      <c r="G520" s="69"/>
    </row>
    <row r="521">
      <c r="A521" s="29"/>
      <c r="B521" s="29"/>
      <c r="G521" s="69"/>
    </row>
    <row r="522">
      <c r="A522" s="29"/>
      <c r="B522" s="29"/>
      <c r="G522" s="69"/>
    </row>
    <row r="523">
      <c r="A523" s="29"/>
      <c r="B523" s="29"/>
      <c r="G523" s="69"/>
    </row>
    <row r="524">
      <c r="A524" s="29"/>
      <c r="B524" s="29"/>
      <c r="G524" s="69"/>
    </row>
    <row r="525">
      <c r="A525" s="29"/>
      <c r="B525" s="29"/>
      <c r="G525" s="69"/>
    </row>
    <row r="526">
      <c r="A526" s="29"/>
      <c r="B526" s="29"/>
      <c r="G526" s="69"/>
    </row>
    <row r="527">
      <c r="A527" s="29"/>
      <c r="B527" s="29"/>
      <c r="G527" s="69"/>
    </row>
    <row r="528">
      <c r="A528" s="29"/>
      <c r="B528" s="29"/>
      <c r="G528" s="69"/>
    </row>
    <row r="529">
      <c r="A529" s="29"/>
      <c r="B529" s="29"/>
      <c r="G529" s="69"/>
    </row>
    <row r="530">
      <c r="A530" s="29"/>
      <c r="B530" s="29"/>
      <c r="G530" s="69"/>
    </row>
    <row r="531">
      <c r="A531" s="29"/>
      <c r="B531" s="29"/>
      <c r="G531" s="69"/>
    </row>
    <row r="532">
      <c r="A532" s="29"/>
      <c r="B532" s="29"/>
      <c r="G532" s="69"/>
    </row>
    <row r="533">
      <c r="A533" s="29"/>
      <c r="B533" s="29"/>
      <c r="G533" s="69"/>
    </row>
    <row r="534">
      <c r="A534" s="29"/>
      <c r="B534" s="29"/>
      <c r="G534" s="69"/>
    </row>
    <row r="535">
      <c r="A535" s="29"/>
      <c r="B535" s="29"/>
      <c r="G535" s="69"/>
    </row>
    <row r="536">
      <c r="A536" s="29"/>
      <c r="B536" s="29"/>
      <c r="G536" s="69"/>
    </row>
    <row r="537">
      <c r="A537" s="29"/>
      <c r="B537" s="29"/>
      <c r="G537" s="69"/>
    </row>
    <row r="538">
      <c r="A538" s="29"/>
      <c r="B538" s="29"/>
      <c r="G538" s="69"/>
    </row>
    <row r="539">
      <c r="A539" s="29"/>
      <c r="B539" s="29"/>
      <c r="G539" s="69"/>
    </row>
    <row r="540">
      <c r="A540" s="29"/>
      <c r="B540" s="29"/>
      <c r="G540" s="69"/>
    </row>
    <row r="541">
      <c r="A541" s="29"/>
      <c r="B541" s="29"/>
      <c r="G541" s="69"/>
    </row>
    <row r="542">
      <c r="A542" s="29"/>
      <c r="B542" s="29"/>
      <c r="G542" s="69"/>
    </row>
    <row r="543">
      <c r="A543" s="29"/>
      <c r="B543" s="29"/>
      <c r="G543" s="69"/>
    </row>
    <row r="544">
      <c r="A544" s="29"/>
      <c r="B544" s="29"/>
      <c r="G544" s="69"/>
    </row>
    <row r="545">
      <c r="A545" s="29"/>
      <c r="B545" s="29"/>
      <c r="G545" s="69"/>
    </row>
    <row r="546">
      <c r="A546" s="29"/>
      <c r="B546" s="29"/>
      <c r="G546" s="69"/>
    </row>
    <row r="547">
      <c r="A547" s="29"/>
      <c r="B547" s="29"/>
      <c r="G547" s="69"/>
    </row>
    <row r="548">
      <c r="A548" s="29"/>
      <c r="B548" s="29"/>
      <c r="G548" s="69"/>
    </row>
    <row r="549">
      <c r="A549" s="29"/>
      <c r="B549" s="29"/>
      <c r="G549" s="69"/>
    </row>
    <row r="550">
      <c r="A550" s="29"/>
      <c r="B550" s="29"/>
      <c r="G550" s="69"/>
    </row>
    <row r="551">
      <c r="A551" s="29"/>
      <c r="B551" s="29"/>
      <c r="G551" s="69"/>
    </row>
    <row r="552">
      <c r="A552" s="29"/>
      <c r="B552" s="29"/>
      <c r="G552" s="69"/>
    </row>
    <row r="553">
      <c r="A553" s="29"/>
      <c r="B553" s="29"/>
      <c r="G553" s="69"/>
    </row>
    <row r="554">
      <c r="A554" s="29"/>
      <c r="B554" s="29"/>
      <c r="G554" s="69"/>
    </row>
    <row r="555">
      <c r="A555" s="29"/>
      <c r="B555" s="29"/>
      <c r="G555" s="69"/>
    </row>
    <row r="556">
      <c r="A556" s="29"/>
      <c r="B556" s="29"/>
      <c r="G556" s="69"/>
    </row>
    <row r="557">
      <c r="A557" s="29"/>
      <c r="B557" s="29"/>
      <c r="G557" s="69"/>
    </row>
    <row r="558">
      <c r="A558" s="29"/>
      <c r="B558" s="29"/>
      <c r="G558" s="69"/>
    </row>
    <row r="559">
      <c r="A559" s="29"/>
      <c r="B559" s="29"/>
      <c r="G559" s="69"/>
    </row>
    <row r="560">
      <c r="A560" s="29"/>
      <c r="B560" s="29"/>
      <c r="G560" s="69"/>
    </row>
    <row r="561">
      <c r="A561" s="29"/>
      <c r="B561" s="29"/>
      <c r="G561" s="69"/>
    </row>
    <row r="562">
      <c r="A562" s="29"/>
      <c r="B562" s="29"/>
      <c r="G562" s="69"/>
    </row>
    <row r="563">
      <c r="A563" s="29"/>
      <c r="B563" s="29"/>
      <c r="G563" s="69"/>
    </row>
    <row r="564">
      <c r="A564" s="29"/>
      <c r="B564" s="29"/>
      <c r="G564" s="69"/>
    </row>
    <row r="565">
      <c r="A565" s="29"/>
      <c r="B565" s="29"/>
      <c r="G565" s="69"/>
    </row>
    <row r="566">
      <c r="A566" s="29"/>
      <c r="B566" s="29"/>
      <c r="G566" s="69"/>
    </row>
    <row r="567">
      <c r="A567" s="29"/>
      <c r="B567" s="29"/>
      <c r="G567" s="69"/>
    </row>
    <row r="568">
      <c r="A568" s="29"/>
      <c r="B568" s="29"/>
      <c r="G568" s="69"/>
    </row>
    <row r="569">
      <c r="A569" s="29"/>
      <c r="B569" s="29"/>
      <c r="G569" s="69"/>
    </row>
    <row r="570">
      <c r="A570" s="29"/>
      <c r="B570" s="29"/>
      <c r="G570" s="69"/>
    </row>
    <row r="571">
      <c r="A571" s="29"/>
      <c r="B571" s="29"/>
      <c r="G571" s="69"/>
    </row>
    <row r="572">
      <c r="A572" s="29"/>
      <c r="B572" s="29"/>
      <c r="G572" s="69"/>
    </row>
    <row r="573">
      <c r="A573" s="29"/>
      <c r="B573" s="29"/>
      <c r="G573" s="69"/>
    </row>
    <row r="574">
      <c r="A574" s="29"/>
      <c r="B574" s="29"/>
      <c r="G574" s="69"/>
    </row>
    <row r="575">
      <c r="A575" s="29"/>
      <c r="B575" s="29"/>
      <c r="G575" s="69"/>
    </row>
    <row r="576">
      <c r="A576" s="29"/>
      <c r="B576" s="29"/>
      <c r="G576" s="69"/>
    </row>
    <row r="577">
      <c r="A577" s="29"/>
      <c r="B577" s="29"/>
      <c r="G577" s="69"/>
    </row>
    <row r="578">
      <c r="A578" s="29"/>
      <c r="B578" s="29"/>
      <c r="G578" s="69"/>
    </row>
    <row r="579">
      <c r="A579" s="29"/>
      <c r="B579" s="29"/>
      <c r="G579" s="69"/>
    </row>
    <row r="580">
      <c r="A580" s="29"/>
      <c r="B580" s="29"/>
      <c r="G580" s="69"/>
    </row>
    <row r="581">
      <c r="A581" s="29"/>
      <c r="B581" s="29"/>
      <c r="G581" s="69"/>
    </row>
    <row r="582">
      <c r="A582" s="29"/>
      <c r="B582" s="29"/>
      <c r="G582" s="69"/>
    </row>
    <row r="583">
      <c r="A583" s="29"/>
      <c r="B583" s="29"/>
      <c r="G583" s="69"/>
    </row>
    <row r="584">
      <c r="A584" s="29"/>
      <c r="B584" s="29"/>
      <c r="G584" s="69"/>
    </row>
    <row r="585">
      <c r="A585" s="29"/>
      <c r="B585" s="29"/>
      <c r="G585" s="69"/>
    </row>
    <row r="586">
      <c r="A586" s="29"/>
      <c r="B586" s="29"/>
      <c r="G586" s="69"/>
    </row>
    <row r="587">
      <c r="A587" s="29"/>
      <c r="B587" s="29"/>
      <c r="G587" s="69"/>
    </row>
    <row r="588">
      <c r="A588" s="29"/>
      <c r="B588" s="29"/>
      <c r="G588" s="69"/>
    </row>
    <row r="589">
      <c r="A589" s="29"/>
      <c r="B589" s="29"/>
      <c r="G589" s="69"/>
    </row>
    <row r="590">
      <c r="A590" s="29"/>
      <c r="B590" s="29"/>
      <c r="G590" s="69"/>
    </row>
    <row r="591">
      <c r="A591" s="29"/>
      <c r="B591" s="29"/>
      <c r="G591" s="69"/>
    </row>
    <row r="592">
      <c r="A592" s="29"/>
      <c r="B592" s="29"/>
      <c r="G592" s="69"/>
    </row>
    <row r="593">
      <c r="A593" s="29"/>
      <c r="B593" s="29"/>
      <c r="G593" s="69"/>
    </row>
    <row r="594">
      <c r="A594" s="29"/>
      <c r="B594" s="29"/>
      <c r="G594" s="69"/>
    </row>
    <row r="595">
      <c r="A595" s="29"/>
      <c r="B595" s="29"/>
      <c r="G595" s="69"/>
    </row>
    <row r="596">
      <c r="A596" s="29"/>
      <c r="B596" s="29"/>
      <c r="G596" s="69"/>
    </row>
    <row r="597">
      <c r="A597" s="29"/>
      <c r="B597" s="29"/>
      <c r="G597" s="69"/>
    </row>
    <row r="598">
      <c r="A598" s="29"/>
      <c r="B598" s="29"/>
      <c r="G598" s="69"/>
    </row>
    <row r="599">
      <c r="A599" s="29"/>
      <c r="B599" s="29"/>
      <c r="G599" s="69"/>
    </row>
    <row r="600">
      <c r="A600" s="29"/>
      <c r="B600" s="29"/>
      <c r="G600" s="69"/>
    </row>
    <row r="601">
      <c r="A601" s="29"/>
      <c r="B601" s="29"/>
      <c r="G601" s="69"/>
    </row>
    <row r="602">
      <c r="A602" s="29"/>
      <c r="B602" s="29"/>
      <c r="G602" s="69"/>
    </row>
    <row r="603">
      <c r="A603" s="29"/>
      <c r="B603" s="29"/>
      <c r="G603" s="69"/>
    </row>
    <row r="604">
      <c r="A604" s="29"/>
      <c r="B604" s="29"/>
      <c r="G604" s="69"/>
    </row>
    <row r="605">
      <c r="A605" s="29"/>
      <c r="B605" s="29"/>
      <c r="G605" s="69"/>
    </row>
    <row r="606">
      <c r="A606" s="29"/>
      <c r="B606" s="29"/>
      <c r="G606" s="69"/>
    </row>
    <row r="607">
      <c r="A607" s="29"/>
      <c r="B607" s="29"/>
      <c r="G607" s="69"/>
    </row>
    <row r="608">
      <c r="A608" s="29"/>
      <c r="B608" s="29"/>
      <c r="G608" s="69"/>
    </row>
    <row r="609">
      <c r="A609" s="29"/>
      <c r="B609" s="29"/>
      <c r="G609" s="69"/>
    </row>
    <row r="610">
      <c r="A610" s="29"/>
      <c r="B610" s="29"/>
      <c r="G610" s="69"/>
    </row>
    <row r="611">
      <c r="A611" s="29"/>
      <c r="B611" s="29"/>
      <c r="G611" s="69"/>
    </row>
    <row r="612">
      <c r="A612" s="29"/>
      <c r="B612" s="29"/>
      <c r="G612" s="69"/>
    </row>
    <row r="613">
      <c r="A613" s="29"/>
      <c r="B613" s="29"/>
      <c r="G613" s="69"/>
    </row>
    <row r="614">
      <c r="A614" s="29"/>
      <c r="B614" s="29"/>
      <c r="G614" s="69"/>
    </row>
    <row r="615">
      <c r="A615" s="29"/>
      <c r="B615" s="29"/>
      <c r="G615" s="69"/>
    </row>
    <row r="616">
      <c r="A616" s="29"/>
      <c r="B616" s="29"/>
      <c r="G616" s="69"/>
    </row>
    <row r="617">
      <c r="A617" s="29"/>
      <c r="B617" s="29"/>
      <c r="G617" s="69"/>
    </row>
    <row r="618">
      <c r="A618" s="29"/>
      <c r="B618" s="29"/>
      <c r="G618" s="69"/>
    </row>
    <row r="619">
      <c r="A619" s="29"/>
      <c r="B619" s="29"/>
      <c r="G619" s="69"/>
    </row>
    <row r="620">
      <c r="A620" s="29"/>
      <c r="B620" s="29"/>
      <c r="G620" s="69"/>
    </row>
    <row r="621">
      <c r="A621" s="29"/>
      <c r="B621" s="29"/>
      <c r="G621" s="69"/>
    </row>
    <row r="622">
      <c r="A622" s="29"/>
      <c r="B622" s="29"/>
      <c r="G622" s="69"/>
    </row>
    <row r="623">
      <c r="A623" s="29"/>
      <c r="B623" s="29"/>
      <c r="G623" s="69"/>
    </row>
    <row r="624">
      <c r="A624" s="29"/>
      <c r="B624" s="29"/>
      <c r="G624" s="69"/>
    </row>
    <row r="625">
      <c r="A625" s="29"/>
      <c r="B625" s="29"/>
      <c r="G625" s="69"/>
    </row>
    <row r="626">
      <c r="A626" s="29"/>
      <c r="B626" s="29"/>
      <c r="G626" s="69"/>
    </row>
    <row r="627">
      <c r="A627" s="29"/>
      <c r="B627" s="29"/>
      <c r="G627" s="69"/>
    </row>
    <row r="628">
      <c r="A628" s="29"/>
      <c r="B628" s="29"/>
      <c r="G628" s="69"/>
    </row>
    <row r="629">
      <c r="A629" s="29"/>
      <c r="B629" s="29"/>
      <c r="G629" s="69"/>
    </row>
    <row r="630">
      <c r="A630" s="29"/>
      <c r="B630" s="29"/>
      <c r="G630" s="69"/>
    </row>
    <row r="631">
      <c r="A631" s="29"/>
      <c r="B631" s="29"/>
      <c r="G631" s="69"/>
    </row>
    <row r="632">
      <c r="A632" s="29"/>
      <c r="B632" s="29"/>
      <c r="G632" s="69"/>
    </row>
    <row r="633">
      <c r="A633" s="29"/>
      <c r="B633" s="29"/>
      <c r="G633" s="69"/>
    </row>
    <row r="634">
      <c r="A634" s="29"/>
      <c r="B634" s="29"/>
      <c r="G634" s="69"/>
    </row>
    <row r="635">
      <c r="A635" s="29"/>
      <c r="B635" s="29"/>
      <c r="G635" s="69"/>
    </row>
    <row r="636">
      <c r="A636" s="29"/>
      <c r="B636" s="29"/>
      <c r="G636" s="69"/>
    </row>
    <row r="637">
      <c r="A637" s="29"/>
      <c r="B637" s="29"/>
      <c r="G637" s="69"/>
    </row>
    <row r="638">
      <c r="A638" s="29"/>
      <c r="B638" s="29"/>
      <c r="G638" s="69"/>
    </row>
    <row r="639">
      <c r="A639" s="29"/>
      <c r="B639" s="29"/>
      <c r="G639" s="69"/>
    </row>
    <row r="640">
      <c r="A640" s="29"/>
      <c r="B640" s="29"/>
      <c r="G640" s="69"/>
    </row>
    <row r="641">
      <c r="A641" s="29"/>
      <c r="B641" s="29"/>
      <c r="G641" s="69"/>
    </row>
    <row r="642">
      <c r="A642" s="29"/>
      <c r="B642" s="29"/>
      <c r="G642" s="69"/>
    </row>
    <row r="643">
      <c r="A643" s="29"/>
      <c r="B643" s="29"/>
      <c r="G643" s="69"/>
    </row>
    <row r="644">
      <c r="A644" s="29"/>
      <c r="B644" s="29"/>
      <c r="G644" s="69"/>
    </row>
    <row r="645">
      <c r="A645" s="29"/>
      <c r="B645" s="29"/>
      <c r="G645" s="69"/>
    </row>
    <row r="646">
      <c r="A646" s="29"/>
      <c r="B646" s="29"/>
      <c r="G646" s="69"/>
    </row>
    <row r="647">
      <c r="A647" s="29"/>
      <c r="B647" s="29"/>
      <c r="G647" s="69"/>
    </row>
    <row r="648">
      <c r="A648" s="29"/>
      <c r="B648" s="29"/>
      <c r="G648" s="69"/>
    </row>
    <row r="649">
      <c r="A649" s="29"/>
      <c r="B649" s="29"/>
      <c r="G649" s="69"/>
    </row>
    <row r="650">
      <c r="A650" s="29"/>
      <c r="B650" s="29"/>
      <c r="G650" s="69"/>
    </row>
    <row r="651">
      <c r="A651" s="29"/>
      <c r="B651" s="29"/>
      <c r="G651" s="69"/>
    </row>
    <row r="652">
      <c r="A652" s="29"/>
      <c r="B652" s="29"/>
      <c r="G652" s="69"/>
    </row>
    <row r="653">
      <c r="A653" s="29"/>
      <c r="B653" s="29"/>
      <c r="G653" s="69"/>
    </row>
    <row r="654">
      <c r="A654" s="29"/>
      <c r="B654" s="29"/>
      <c r="G654" s="69"/>
    </row>
    <row r="655">
      <c r="A655" s="29"/>
      <c r="B655" s="29"/>
      <c r="G655" s="69"/>
    </row>
    <row r="656">
      <c r="A656" s="29"/>
      <c r="B656" s="29"/>
      <c r="G656" s="69"/>
    </row>
    <row r="657">
      <c r="A657" s="29"/>
      <c r="B657" s="29"/>
      <c r="G657" s="69"/>
    </row>
    <row r="658">
      <c r="A658" s="29"/>
      <c r="B658" s="29"/>
      <c r="G658" s="69"/>
    </row>
    <row r="659">
      <c r="A659" s="29"/>
      <c r="B659" s="29"/>
      <c r="G659" s="69"/>
    </row>
    <row r="660">
      <c r="A660" s="29"/>
      <c r="B660" s="29"/>
      <c r="G660" s="69"/>
    </row>
    <row r="661">
      <c r="A661" s="29"/>
      <c r="B661" s="29"/>
      <c r="G661" s="69"/>
    </row>
    <row r="662">
      <c r="A662" s="29"/>
      <c r="B662" s="29"/>
      <c r="G662" s="69"/>
    </row>
    <row r="663">
      <c r="A663" s="29"/>
      <c r="B663" s="29"/>
      <c r="G663" s="69"/>
    </row>
    <row r="664">
      <c r="A664" s="29"/>
      <c r="B664" s="29"/>
      <c r="G664" s="69"/>
    </row>
    <row r="665">
      <c r="A665" s="29"/>
      <c r="B665" s="29"/>
      <c r="G665" s="69"/>
    </row>
    <row r="666">
      <c r="A666" s="29"/>
      <c r="B666" s="29"/>
      <c r="G666" s="69"/>
    </row>
    <row r="667">
      <c r="A667" s="29"/>
      <c r="B667" s="29"/>
      <c r="G667" s="69"/>
    </row>
    <row r="668">
      <c r="A668" s="29"/>
      <c r="B668" s="29"/>
      <c r="G668" s="69"/>
    </row>
    <row r="669">
      <c r="A669" s="29"/>
      <c r="B669" s="29"/>
      <c r="G669" s="69"/>
    </row>
    <row r="670">
      <c r="A670" s="29"/>
      <c r="B670" s="29"/>
      <c r="G670" s="69"/>
    </row>
    <row r="671">
      <c r="A671" s="29"/>
      <c r="B671" s="29"/>
      <c r="G671" s="69"/>
    </row>
    <row r="672">
      <c r="A672" s="29"/>
      <c r="B672" s="29"/>
      <c r="G672" s="69"/>
    </row>
    <row r="673">
      <c r="A673" s="29"/>
      <c r="B673" s="29"/>
      <c r="G673" s="69"/>
    </row>
    <row r="674">
      <c r="A674" s="29"/>
      <c r="B674" s="29"/>
      <c r="G674" s="69"/>
    </row>
    <row r="675">
      <c r="A675" s="29"/>
      <c r="B675" s="29"/>
      <c r="G675" s="69"/>
    </row>
    <row r="676">
      <c r="A676" s="29"/>
      <c r="B676" s="29"/>
      <c r="G676" s="69"/>
    </row>
    <row r="677">
      <c r="A677" s="29"/>
      <c r="B677" s="29"/>
      <c r="G677" s="69"/>
    </row>
    <row r="678">
      <c r="A678" s="29"/>
      <c r="B678" s="29"/>
      <c r="G678" s="69"/>
    </row>
    <row r="679">
      <c r="A679" s="29"/>
      <c r="B679" s="29"/>
      <c r="G679" s="69"/>
    </row>
    <row r="680">
      <c r="A680" s="29"/>
      <c r="B680" s="29"/>
      <c r="G680" s="69"/>
    </row>
    <row r="681">
      <c r="A681" s="29"/>
      <c r="B681" s="29"/>
      <c r="G681" s="69"/>
    </row>
    <row r="682">
      <c r="A682" s="29"/>
      <c r="B682" s="29"/>
      <c r="G682" s="69"/>
    </row>
    <row r="683">
      <c r="A683" s="29"/>
      <c r="B683" s="29"/>
      <c r="G683" s="69"/>
    </row>
    <row r="684">
      <c r="A684" s="29"/>
      <c r="B684" s="29"/>
      <c r="G684" s="69"/>
    </row>
    <row r="685">
      <c r="A685" s="29"/>
      <c r="B685" s="29"/>
      <c r="G685" s="69"/>
    </row>
    <row r="686">
      <c r="A686" s="29"/>
      <c r="B686" s="29"/>
      <c r="G686" s="69"/>
    </row>
    <row r="687">
      <c r="A687" s="29"/>
      <c r="B687" s="29"/>
      <c r="G687" s="69"/>
    </row>
    <row r="688">
      <c r="A688" s="29"/>
      <c r="B688" s="29"/>
      <c r="G688" s="69"/>
    </row>
    <row r="689">
      <c r="A689" s="29"/>
      <c r="B689" s="29"/>
      <c r="G689" s="69"/>
    </row>
    <row r="690">
      <c r="A690" s="29"/>
      <c r="B690" s="29"/>
      <c r="G690" s="69"/>
    </row>
    <row r="691">
      <c r="A691" s="29"/>
      <c r="B691" s="29"/>
      <c r="G691" s="69"/>
    </row>
    <row r="692">
      <c r="A692" s="29"/>
      <c r="B692" s="29"/>
      <c r="G692" s="69"/>
    </row>
    <row r="693">
      <c r="A693" s="29"/>
      <c r="B693" s="29"/>
      <c r="G693" s="69"/>
    </row>
    <row r="694">
      <c r="A694" s="29"/>
      <c r="B694" s="29"/>
      <c r="G694" s="69"/>
    </row>
    <row r="695">
      <c r="A695" s="29"/>
      <c r="B695" s="29"/>
      <c r="G695" s="69"/>
    </row>
    <row r="696">
      <c r="A696" s="29"/>
      <c r="B696" s="29"/>
      <c r="G696" s="69"/>
    </row>
    <row r="697">
      <c r="A697" s="29"/>
      <c r="B697" s="29"/>
      <c r="G697" s="69"/>
    </row>
    <row r="698">
      <c r="A698" s="29"/>
      <c r="B698" s="29"/>
      <c r="G698" s="69"/>
    </row>
    <row r="699">
      <c r="A699" s="29"/>
      <c r="B699" s="29"/>
      <c r="G699" s="69"/>
    </row>
    <row r="700">
      <c r="A700" s="29"/>
      <c r="B700" s="29"/>
      <c r="G700" s="69"/>
    </row>
    <row r="701">
      <c r="A701" s="29"/>
      <c r="B701" s="29"/>
      <c r="G701" s="69"/>
    </row>
    <row r="702">
      <c r="A702" s="29"/>
      <c r="B702" s="29"/>
      <c r="G702" s="69"/>
    </row>
    <row r="703">
      <c r="A703" s="29"/>
      <c r="B703" s="29"/>
      <c r="G703" s="69"/>
    </row>
    <row r="704">
      <c r="A704" s="29"/>
      <c r="B704" s="29"/>
      <c r="G704" s="69"/>
    </row>
    <row r="705">
      <c r="A705" s="29"/>
      <c r="B705" s="29"/>
      <c r="G705" s="69"/>
    </row>
    <row r="706">
      <c r="A706" s="29"/>
      <c r="B706" s="29"/>
      <c r="G706" s="69"/>
    </row>
    <row r="707">
      <c r="A707" s="29"/>
      <c r="B707" s="29"/>
      <c r="G707" s="69"/>
    </row>
    <row r="708">
      <c r="A708" s="29"/>
      <c r="B708" s="29"/>
      <c r="G708" s="69"/>
    </row>
    <row r="709">
      <c r="A709" s="29"/>
      <c r="B709" s="29"/>
      <c r="G709" s="69"/>
    </row>
    <row r="710">
      <c r="A710" s="29"/>
      <c r="B710" s="29"/>
      <c r="G710" s="69"/>
    </row>
    <row r="711">
      <c r="A711" s="29"/>
      <c r="B711" s="29"/>
      <c r="G711" s="69"/>
    </row>
    <row r="712">
      <c r="A712" s="29"/>
      <c r="B712" s="29"/>
      <c r="G712" s="69"/>
    </row>
    <row r="713">
      <c r="A713" s="29"/>
      <c r="B713" s="29"/>
      <c r="G713" s="69"/>
    </row>
    <row r="714">
      <c r="A714" s="29"/>
      <c r="B714" s="29"/>
      <c r="G714" s="69"/>
    </row>
    <row r="715">
      <c r="A715" s="29"/>
      <c r="B715" s="29"/>
      <c r="G715" s="69"/>
    </row>
    <row r="716">
      <c r="A716" s="29"/>
      <c r="B716" s="29"/>
      <c r="G716" s="69"/>
    </row>
    <row r="717">
      <c r="A717" s="29"/>
      <c r="B717" s="29"/>
      <c r="G717" s="69"/>
    </row>
    <row r="718">
      <c r="A718" s="29"/>
      <c r="B718" s="29"/>
      <c r="G718" s="69"/>
    </row>
    <row r="719">
      <c r="A719" s="29"/>
      <c r="B719" s="29"/>
      <c r="G719" s="69"/>
    </row>
    <row r="720">
      <c r="A720" s="29"/>
      <c r="B720" s="29"/>
      <c r="G720" s="69"/>
    </row>
    <row r="721">
      <c r="A721" s="29"/>
      <c r="B721" s="29"/>
      <c r="G721" s="69"/>
    </row>
    <row r="722">
      <c r="A722" s="29"/>
      <c r="B722" s="29"/>
      <c r="G722" s="69"/>
    </row>
    <row r="723">
      <c r="A723" s="29"/>
      <c r="B723" s="29"/>
      <c r="G723" s="69"/>
    </row>
    <row r="724">
      <c r="A724" s="29"/>
      <c r="B724" s="29"/>
      <c r="G724" s="69"/>
    </row>
    <row r="725">
      <c r="A725" s="29"/>
      <c r="B725" s="29"/>
      <c r="G725" s="69"/>
    </row>
    <row r="726">
      <c r="A726" s="29"/>
      <c r="B726" s="29"/>
      <c r="G726" s="69"/>
    </row>
    <row r="727">
      <c r="A727" s="29"/>
      <c r="B727" s="29"/>
      <c r="G727" s="69"/>
    </row>
    <row r="728">
      <c r="A728" s="29"/>
      <c r="B728" s="29"/>
      <c r="G728" s="69"/>
    </row>
    <row r="729">
      <c r="A729" s="29"/>
      <c r="B729" s="29"/>
      <c r="G729" s="69"/>
    </row>
    <row r="730">
      <c r="A730" s="29"/>
      <c r="B730" s="29"/>
      <c r="G730" s="69"/>
    </row>
    <row r="731">
      <c r="A731" s="29"/>
      <c r="B731" s="29"/>
      <c r="G731" s="69"/>
    </row>
    <row r="732">
      <c r="A732" s="29"/>
      <c r="B732" s="29"/>
      <c r="G732" s="69"/>
    </row>
    <row r="733">
      <c r="A733" s="29"/>
      <c r="B733" s="29"/>
      <c r="G733" s="69"/>
    </row>
    <row r="734">
      <c r="A734" s="29"/>
      <c r="B734" s="29"/>
      <c r="G734" s="69"/>
    </row>
    <row r="735">
      <c r="A735" s="29"/>
      <c r="B735" s="29"/>
      <c r="G735" s="69"/>
    </row>
    <row r="736">
      <c r="A736" s="29"/>
      <c r="B736" s="29"/>
      <c r="G736" s="69"/>
    </row>
    <row r="737">
      <c r="A737" s="29"/>
      <c r="B737" s="29"/>
      <c r="G737" s="69"/>
    </row>
    <row r="738">
      <c r="A738" s="29"/>
      <c r="B738" s="29"/>
      <c r="G738" s="69"/>
    </row>
    <row r="739">
      <c r="A739" s="29"/>
      <c r="B739" s="29"/>
      <c r="G739" s="69"/>
    </row>
    <row r="740">
      <c r="A740" s="29"/>
      <c r="B740" s="29"/>
      <c r="G740" s="69"/>
    </row>
    <row r="741">
      <c r="A741" s="29"/>
      <c r="B741" s="29"/>
      <c r="G741" s="69"/>
    </row>
    <row r="742">
      <c r="A742" s="29"/>
      <c r="B742" s="29"/>
      <c r="G742" s="69"/>
    </row>
    <row r="743">
      <c r="A743" s="29"/>
      <c r="B743" s="29"/>
      <c r="G743" s="69"/>
    </row>
    <row r="744">
      <c r="A744" s="29"/>
      <c r="B744" s="29"/>
      <c r="G744" s="69"/>
    </row>
    <row r="745">
      <c r="A745" s="29"/>
      <c r="B745" s="29"/>
      <c r="G745" s="69"/>
    </row>
    <row r="746">
      <c r="A746" s="29"/>
      <c r="B746" s="29"/>
      <c r="G746" s="69"/>
    </row>
    <row r="747">
      <c r="A747" s="29"/>
      <c r="B747" s="29"/>
      <c r="G747" s="69"/>
    </row>
    <row r="748">
      <c r="A748" s="29"/>
      <c r="B748" s="29"/>
      <c r="G748" s="69"/>
    </row>
    <row r="749">
      <c r="A749" s="29"/>
      <c r="B749" s="29"/>
      <c r="G749" s="69"/>
    </row>
    <row r="750">
      <c r="A750" s="29"/>
      <c r="B750" s="29"/>
      <c r="G750" s="69"/>
    </row>
    <row r="751">
      <c r="A751" s="29"/>
      <c r="B751" s="29"/>
      <c r="G751" s="69"/>
    </row>
    <row r="752">
      <c r="A752" s="29"/>
      <c r="B752" s="29"/>
      <c r="G752" s="69"/>
    </row>
    <row r="753">
      <c r="A753" s="29"/>
      <c r="B753" s="29"/>
      <c r="G753" s="69"/>
    </row>
    <row r="754">
      <c r="A754" s="29"/>
      <c r="B754" s="29"/>
      <c r="G754" s="69"/>
    </row>
    <row r="755">
      <c r="A755" s="29"/>
      <c r="B755" s="29"/>
      <c r="G755" s="69"/>
    </row>
    <row r="756">
      <c r="A756" s="29"/>
      <c r="B756" s="29"/>
      <c r="G756" s="69"/>
    </row>
    <row r="757">
      <c r="A757" s="29"/>
      <c r="B757" s="29"/>
      <c r="G757" s="69"/>
    </row>
    <row r="758">
      <c r="A758" s="29"/>
      <c r="B758" s="29"/>
      <c r="G758" s="69"/>
    </row>
    <row r="759">
      <c r="A759" s="29"/>
      <c r="B759" s="29"/>
      <c r="G759" s="69"/>
    </row>
    <row r="760">
      <c r="A760" s="29"/>
      <c r="B760" s="29"/>
      <c r="G760" s="69"/>
    </row>
    <row r="761">
      <c r="A761" s="29"/>
      <c r="B761" s="29"/>
      <c r="G761" s="69"/>
    </row>
    <row r="762">
      <c r="A762" s="29"/>
      <c r="B762" s="29"/>
      <c r="G762" s="69"/>
    </row>
    <row r="763">
      <c r="A763" s="29"/>
      <c r="B763" s="29"/>
      <c r="G763" s="69"/>
    </row>
    <row r="764">
      <c r="A764" s="29"/>
      <c r="B764" s="29"/>
      <c r="G764" s="69"/>
    </row>
    <row r="765">
      <c r="A765" s="29"/>
      <c r="B765" s="29"/>
      <c r="G765" s="69"/>
    </row>
    <row r="766">
      <c r="A766" s="29"/>
      <c r="B766" s="29"/>
      <c r="G766" s="69"/>
    </row>
    <row r="767">
      <c r="A767" s="29"/>
      <c r="B767" s="29"/>
      <c r="G767" s="69"/>
    </row>
    <row r="768">
      <c r="A768" s="29"/>
      <c r="B768" s="29"/>
      <c r="G768" s="69"/>
    </row>
    <row r="769">
      <c r="A769" s="29"/>
      <c r="B769" s="29"/>
      <c r="G769" s="69"/>
    </row>
    <row r="770">
      <c r="A770" s="29"/>
      <c r="B770" s="29"/>
      <c r="G770" s="69"/>
    </row>
    <row r="771">
      <c r="A771" s="29"/>
      <c r="B771" s="29"/>
      <c r="G771" s="69"/>
    </row>
    <row r="772">
      <c r="A772" s="29"/>
      <c r="B772" s="29"/>
      <c r="G772" s="69"/>
    </row>
    <row r="773">
      <c r="A773" s="29"/>
      <c r="B773" s="29"/>
      <c r="G773" s="69"/>
    </row>
    <row r="774">
      <c r="A774" s="29"/>
      <c r="B774" s="29"/>
      <c r="G774" s="69"/>
    </row>
    <row r="775">
      <c r="A775" s="29"/>
      <c r="B775" s="29"/>
      <c r="G775" s="69"/>
    </row>
    <row r="776">
      <c r="A776" s="29"/>
      <c r="B776" s="29"/>
      <c r="G776" s="69"/>
    </row>
    <row r="777">
      <c r="A777" s="29"/>
      <c r="B777" s="29"/>
      <c r="G777" s="69"/>
    </row>
    <row r="778">
      <c r="A778" s="29"/>
      <c r="B778" s="29"/>
      <c r="G778" s="69"/>
    </row>
    <row r="779">
      <c r="A779" s="29"/>
      <c r="B779" s="29"/>
      <c r="G779" s="69"/>
    </row>
    <row r="780">
      <c r="A780" s="29"/>
      <c r="B780" s="29"/>
      <c r="G780" s="69"/>
    </row>
    <row r="781">
      <c r="A781" s="29"/>
      <c r="B781" s="29"/>
      <c r="G781" s="69"/>
    </row>
    <row r="782">
      <c r="A782" s="29"/>
      <c r="B782" s="29"/>
      <c r="G782" s="69"/>
    </row>
    <row r="783">
      <c r="A783" s="29"/>
      <c r="B783" s="29"/>
      <c r="G783" s="69"/>
    </row>
    <row r="784">
      <c r="A784" s="29"/>
      <c r="B784" s="29"/>
      <c r="G784" s="69"/>
    </row>
    <row r="785">
      <c r="A785" s="29"/>
      <c r="B785" s="29"/>
      <c r="G785" s="69"/>
    </row>
    <row r="786">
      <c r="A786" s="29"/>
      <c r="B786" s="29"/>
      <c r="G786" s="69"/>
    </row>
    <row r="787">
      <c r="A787" s="29"/>
      <c r="B787" s="29"/>
      <c r="G787" s="69"/>
    </row>
    <row r="788">
      <c r="A788" s="29"/>
      <c r="B788" s="29"/>
      <c r="G788" s="69"/>
    </row>
    <row r="789">
      <c r="A789" s="29"/>
      <c r="B789" s="29"/>
      <c r="G789" s="69"/>
    </row>
    <row r="790">
      <c r="A790" s="29"/>
      <c r="B790" s="29"/>
      <c r="G790" s="69"/>
    </row>
    <row r="791">
      <c r="A791" s="29"/>
      <c r="B791" s="29"/>
      <c r="G791" s="69"/>
    </row>
    <row r="792">
      <c r="A792" s="29"/>
      <c r="B792" s="29"/>
      <c r="G792" s="69"/>
    </row>
    <row r="793">
      <c r="A793" s="29"/>
      <c r="B793" s="29"/>
      <c r="G793" s="69"/>
    </row>
    <row r="794">
      <c r="A794" s="29"/>
      <c r="B794" s="29"/>
      <c r="G794" s="69"/>
    </row>
    <row r="795">
      <c r="A795" s="29"/>
      <c r="B795" s="29"/>
      <c r="G795" s="69"/>
    </row>
    <row r="796">
      <c r="A796" s="29"/>
      <c r="B796" s="29"/>
      <c r="G796" s="69"/>
    </row>
    <row r="797">
      <c r="A797" s="29"/>
      <c r="B797" s="29"/>
      <c r="G797" s="69"/>
    </row>
    <row r="798">
      <c r="A798" s="29"/>
      <c r="B798" s="29"/>
      <c r="G798" s="69"/>
    </row>
    <row r="799">
      <c r="A799" s="29"/>
      <c r="B799" s="29"/>
      <c r="G799" s="69"/>
    </row>
    <row r="800">
      <c r="A800" s="29"/>
      <c r="B800" s="29"/>
      <c r="G800" s="69"/>
    </row>
    <row r="801">
      <c r="A801" s="29"/>
      <c r="B801" s="29"/>
      <c r="G801" s="69"/>
    </row>
    <row r="802">
      <c r="A802" s="29"/>
      <c r="B802" s="29"/>
      <c r="G802" s="69"/>
    </row>
    <row r="803">
      <c r="A803" s="29"/>
      <c r="B803" s="29"/>
      <c r="G803" s="69"/>
    </row>
    <row r="804">
      <c r="A804" s="29"/>
      <c r="B804" s="29"/>
      <c r="G804" s="69"/>
    </row>
    <row r="805">
      <c r="A805" s="29"/>
      <c r="B805" s="29"/>
      <c r="G805" s="69"/>
    </row>
    <row r="806">
      <c r="A806" s="29"/>
      <c r="B806" s="29"/>
      <c r="G806" s="69"/>
    </row>
    <row r="807">
      <c r="A807" s="29"/>
      <c r="B807" s="29"/>
      <c r="G807" s="69"/>
    </row>
    <row r="808">
      <c r="A808" s="29"/>
      <c r="B808" s="29"/>
      <c r="G808" s="69"/>
    </row>
    <row r="809">
      <c r="A809" s="29"/>
      <c r="B809" s="29"/>
      <c r="G809" s="69"/>
    </row>
    <row r="810">
      <c r="A810" s="29"/>
      <c r="B810" s="29"/>
      <c r="G810" s="69"/>
    </row>
    <row r="811">
      <c r="A811" s="29"/>
      <c r="B811" s="29"/>
      <c r="G811" s="69"/>
    </row>
    <row r="812">
      <c r="A812" s="29"/>
      <c r="B812" s="29"/>
      <c r="G812" s="69"/>
    </row>
    <row r="813">
      <c r="A813" s="29"/>
      <c r="B813" s="29"/>
      <c r="G813" s="69"/>
    </row>
    <row r="814">
      <c r="A814" s="29"/>
      <c r="B814" s="29"/>
      <c r="G814" s="69"/>
    </row>
    <row r="815">
      <c r="A815" s="29"/>
      <c r="B815" s="29"/>
      <c r="G815" s="69"/>
    </row>
    <row r="816">
      <c r="A816" s="29"/>
      <c r="B816" s="29"/>
      <c r="G816" s="69"/>
    </row>
    <row r="817">
      <c r="A817" s="29"/>
      <c r="B817" s="29"/>
      <c r="G817" s="69"/>
    </row>
    <row r="818">
      <c r="A818" s="29"/>
      <c r="B818" s="29"/>
      <c r="G818" s="69"/>
    </row>
    <row r="819">
      <c r="A819" s="29"/>
      <c r="B819" s="29"/>
      <c r="G819" s="69"/>
    </row>
    <row r="820">
      <c r="A820" s="29"/>
      <c r="B820" s="29"/>
      <c r="G820" s="69"/>
    </row>
    <row r="821">
      <c r="A821" s="29"/>
      <c r="B821" s="29"/>
      <c r="G821" s="69"/>
    </row>
    <row r="822">
      <c r="A822" s="29"/>
      <c r="B822" s="29"/>
      <c r="G822" s="69"/>
    </row>
    <row r="823">
      <c r="A823" s="29"/>
      <c r="B823" s="29"/>
      <c r="G823" s="69"/>
    </row>
    <row r="824">
      <c r="A824" s="29"/>
      <c r="B824" s="29"/>
      <c r="G824" s="69"/>
    </row>
    <row r="825">
      <c r="A825" s="29"/>
      <c r="B825" s="29"/>
      <c r="G825" s="69"/>
    </row>
    <row r="826">
      <c r="A826" s="29"/>
      <c r="B826" s="29"/>
      <c r="G826" s="69"/>
    </row>
    <row r="827">
      <c r="A827" s="29"/>
      <c r="B827" s="29"/>
      <c r="G827" s="69"/>
    </row>
    <row r="828">
      <c r="A828" s="29"/>
      <c r="B828" s="29"/>
      <c r="G828" s="69"/>
    </row>
    <row r="829">
      <c r="A829" s="29"/>
      <c r="B829" s="29"/>
      <c r="G829" s="69"/>
    </row>
    <row r="830">
      <c r="A830" s="29"/>
      <c r="B830" s="29"/>
      <c r="G830" s="69"/>
    </row>
    <row r="831">
      <c r="A831" s="29"/>
      <c r="B831" s="29"/>
      <c r="G831" s="69"/>
    </row>
    <row r="832">
      <c r="A832" s="29"/>
      <c r="B832" s="29"/>
      <c r="G832" s="69"/>
    </row>
    <row r="833">
      <c r="A833" s="29"/>
      <c r="B833" s="29"/>
      <c r="G833" s="69"/>
    </row>
    <row r="834">
      <c r="A834" s="29"/>
      <c r="B834" s="29"/>
      <c r="G834" s="69"/>
    </row>
    <row r="835">
      <c r="A835" s="29"/>
      <c r="B835" s="29"/>
      <c r="G835" s="69"/>
    </row>
    <row r="836">
      <c r="A836" s="29"/>
      <c r="B836" s="29"/>
      <c r="G836" s="69"/>
    </row>
    <row r="837">
      <c r="A837" s="29"/>
      <c r="B837" s="29"/>
      <c r="G837" s="69"/>
    </row>
    <row r="838">
      <c r="A838" s="29"/>
      <c r="B838" s="29"/>
      <c r="G838" s="69"/>
    </row>
    <row r="839">
      <c r="A839" s="29"/>
      <c r="B839" s="29"/>
      <c r="G839" s="69"/>
    </row>
    <row r="840">
      <c r="A840" s="29"/>
      <c r="B840" s="29"/>
      <c r="G840" s="69"/>
    </row>
    <row r="841">
      <c r="A841" s="29"/>
      <c r="B841" s="29"/>
      <c r="G841" s="69"/>
    </row>
    <row r="842">
      <c r="A842" s="29"/>
      <c r="B842" s="29"/>
      <c r="G842" s="69"/>
    </row>
    <row r="843">
      <c r="A843" s="29"/>
      <c r="B843" s="29"/>
      <c r="G843" s="69"/>
    </row>
    <row r="844">
      <c r="A844" s="29"/>
      <c r="B844" s="29"/>
      <c r="G844" s="69"/>
    </row>
    <row r="845">
      <c r="A845" s="29"/>
      <c r="B845" s="29"/>
      <c r="G845" s="69"/>
    </row>
    <row r="846">
      <c r="A846" s="29"/>
      <c r="B846" s="29"/>
      <c r="G846" s="69"/>
    </row>
    <row r="847">
      <c r="A847" s="29"/>
      <c r="B847" s="29"/>
      <c r="G847" s="69"/>
    </row>
    <row r="848">
      <c r="A848" s="29"/>
      <c r="B848" s="29"/>
      <c r="G848" s="69"/>
    </row>
    <row r="849">
      <c r="A849" s="29"/>
      <c r="B849" s="29"/>
      <c r="G849" s="69"/>
    </row>
    <row r="850">
      <c r="A850" s="29"/>
      <c r="B850" s="29"/>
      <c r="G850" s="69"/>
    </row>
    <row r="851">
      <c r="A851" s="29"/>
      <c r="B851" s="29"/>
      <c r="G851" s="69"/>
    </row>
    <row r="852">
      <c r="A852" s="29"/>
      <c r="B852" s="29"/>
      <c r="G852" s="69"/>
    </row>
    <row r="853">
      <c r="A853" s="29"/>
      <c r="B853" s="29"/>
      <c r="G853" s="69"/>
    </row>
    <row r="854">
      <c r="A854" s="29"/>
      <c r="B854" s="29"/>
      <c r="G854" s="69"/>
    </row>
    <row r="855">
      <c r="A855" s="29"/>
      <c r="B855" s="29"/>
      <c r="G855" s="69"/>
    </row>
    <row r="856">
      <c r="A856" s="29"/>
      <c r="B856" s="29"/>
      <c r="G856" s="69"/>
    </row>
    <row r="857">
      <c r="A857" s="29"/>
      <c r="B857" s="29"/>
      <c r="G857" s="69"/>
    </row>
    <row r="858">
      <c r="A858" s="29"/>
      <c r="B858" s="29"/>
      <c r="G858" s="69"/>
    </row>
    <row r="859">
      <c r="A859" s="29"/>
      <c r="B859" s="29"/>
      <c r="G859" s="69"/>
    </row>
    <row r="860">
      <c r="A860" s="29"/>
      <c r="B860" s="29"/>
      <c r="G860" s="69"/>
    </row>
    <row r="861">
      <c r="A861" s="29"/>
      <c r="B861" s="29"/>
      <c r="G861" s="69"/>
    </row>
    <row r="862">
      <c r="A862" s="29"/>
      <c r="B862" s="29"/>
      <c r="G862" s="69"/>
    </row>
    <row r="863">
      <c r="A863" s="29"/>
      <c r="B863" s="29"/>
      <c r="G863" s="69"/>
    </row>
    <row r="864">
      <c r="A864" s="29"/>
      <c r="B864" s="29"/>
      <c r="G864" s="69"/>
    </row>
    <row r="865">
      <c r="A865" s="29"/>
      <c r="B865" s="29"/>
      <c r="G865" s="69"/>
    </row>
    <row r="866">
      <c r="A866" s="29"/>
      <c r="B866" s="29"/>
      <c r="G866" s="69"/>
    </row>
    <row r="867">
      <c r="A867" s="29"/>
      <c r="B867" s="29"/>
      <c r="G867" s="69"/>
    </row>
    <row r="868">
      <c r="A868" s="29"/>
      <c r="B868" s="29"/>
      <c r="G868" s="69"/>
    </row>
    <row r="869">
      <c r="A869" s="29"/>
      <c r="B869" s="29"/>
      <c r="G869" s="69"/>
    </row>
    <row r="870">
      <c r="A870" s="29"/>
      <c r="B870" s="29"/>
      <c r="G870" s="69"/>
    </row>
    <row r="871">
      <c r="A871" s="29"/>
      <c r="B871" s="29"/>
      <c r="G871" s="69"/>
    </row>
    <row r="872">
      <c r="A872" s="29"/>
      <c r="B872" s="29"/>
      <c r="G872" s="69"/>
    </row>
    <row r="873">
      <c r="A873" s="29"/>
      <c r="B873" s="29"/>
      <c r="G873" s="69"/>
    </row>
    <row r="874">
      <c r="A874" s="29"/>
      <c r="B874" s="29"/>
      <c r="G874" s="69"/>
    </row>
    <row r="875">
      <c r="A875" s="29"/>
      <c r="B875" s="29"/>
      <c r="G875" s="69"/>
    </row>
    <row r="876">
      <c r="A876" s="29"/>
      <c r="B876" s="29"/>
      <c r="G876" s="69"/>
    </row>
    <row r="877">
      <c r="A877" s="29"/>
      <c r="B877" s="29"/>
      <c r="G877" s="69"/>
    </row>
    <row r="878">
      <c r="A878" s="29"/>
      <c r="B878" s="29"/>
      <c r="G878" s="69"/>
    </row>
    <row r="879">
      <c r="A879" s="29"/>
      <c r="B879" s="29"/>
      <c r="G879" s="69"/>
    </row>
    <row r="880">
      <c r="A880" s="29"/>
      <c r="B880" s="29"/>
      <c r="G880" s="69"/>
    </row>
    <row r="881">
      <c r="A881" s="29"/>
      <c r="B881" s="29"/>
      <c r="G881" s="69"/>
    </row>
    <row r="882">
      <c r="A882" s="29"/>
      <c r="B882" s="29"/>
      <c r="G882" s="69"/>
    </row>
    <row r="883">
      <c r="A883" s="29"/>
      <c r="B883" s="29"/>
      <c r="G883" s="69"/>
    </row>
    <row r="884">
      <c r="A884" s="29"/>
      <c r="B884" s="29"/>
      <c r="G884" s="69"/>
    </row>
    <row r="885">
      <c r="A885" s="29"/>
      <c r="B885" s="29"/>
      <c r="G885" s="69"/>
    </row>
    <row r="886">
      <c r="A886" s="29"/>
      <c r="B886" s="29"/>
      <c r="G886" s="69"/>
    </row>
    <row r="887">
      <c r="A887" s="29"/>
      <c r="B887" s="29"/>
      <c r="G887" s="69"/>
    </row>
    <row r="888">
      <c r="A888" s="29"/>
      <c r="B888" s="29"/>
      <c r="G888" s="69"/>
    </row>
    <row r="889">
      <c r="A889" s="29"/>
      <c r="B889" s="29"/>
      <c r="G889" s="69"/>
    </row>
    <row r="890">
      <c r="A890" s="29"/>
      <c r="B890" s="29"/>
      <c r="G890" s="69"/>
    </row>
    <row r="891">
      <c r="A891" s="29"/>
      <c r="B891" s="29"/>
      <c r="G891" s="69"/>
    </row>
    <row r="892">
      <c r="A892" s="29"/>
      <c r="B892" s="29"/>
      <c r="G892" s="69"/>
    </row>
    <row r="893">
      <c r="A893" s="29"/>
      <c r="B893" s="29"/>
      <c r="G893" s="69"/>
    </row>
    <row r="894">
      <c r="A894" s="29"/>
      <c r="B894" s="29"/>
      <c r="G894" s="69"/>
    </row>
    <row r="895">
      <c r="A895" s="29"/>
      <c r="B895" s="29"/>
      <c r="G895" s="69"/>
    </row>
    <row r="896">
      <c r="A896" s="29"/>
      <c r="B896" s="29"/>
      <c r="G896" s="69"/>
    </row>
    <row r="897">
      <c r="A897" s="29"/>
      <c r="B897" s="29"/>
      <c r="G897" s="69"/>
    </row>
    <row r="898">
      <c r="A898" s="29"/>
      <c r="B898" s="29"/>
      <c r="G898" s="69"/>
    </row>
    <row r="899">
      <c r="A899" s="29"/>
      <c r="B899" s="29"/>
      <c r="G899" s="69"/>
    </row>
    <row r="900">
      <c r="A900" s="29"/>
      <c r="B900" s="29"/>
      <c r="G900" s="69"/>
    </row>
    <row r="901">
      <c r="A901" s="29"/>
      <c r="B901" s="29"/>
      <c r="G901" s="69"/>
    </row>
    <row r="902">
      <c r="A902" s="29"/>
      <c r="B902" s="29"/>
      <c r="G902" s="69"/>
    </row>
    <row r="903">
      <c r="A903" s="29"/>
      <c r="B903" s="29"/>
      <c r="G903" s="69"/>
    </row>
    <row r="904">
      <c r="A904" s="29"/>
      <c r="B904" s="29"/>
      <c r="G904" s="69"/>
    </row>
    <row r="905">
      <c r="A905" s="29"/>
      <c r="B905" s="29"/>
      <c r="G905" s="69"/>
    </row>
    <row r="906">
      <c r="A906" s="29"/>
      <c r="B906" s="29"/>
      <c r="G906" s="69"/>
    </row>
    <row r="907">
      <c r="A907" s="29"/>
      <c r="B907" s="29"/>
      <c r="G907" s="69"/>
    </row>
    <row r="908">
      <c r="A908" s="29"/>
      <c r="B908" s="29"/>
      <c r="G908" s="69"/>
    </row>
    <row r="909">
      <c r="A909" s="29"/>
      <c r="B909" s="29"/>
      <c r="G909" s="69"/>
    </row>
    <row r="910">
      <c r="A910" s="29"/>
      <c r="B910" s="29"/>
      <c r="G910" s="69"/>
    </row>
    <row r="911">
      <c r="A911" s="29"/>
      <c r="B911" s="29"/>
      <c r="G911" s="69"/>
    </row>
    <row r="912">
      <c r="A912" s="29"/>
      <c r="B912" s="29"/>
      <c r="G912" s="69"/>
    </row>
    <row r="913">
      <c r="A913" s="29"/>
      <c r="B913" s="29"/>
      <c r="G913" s="69"/>
    </row>
    <row r="914">
      <c r="A914" s="29"/>
      <c r="B914" s="29"/>
      <c r="G914" s="69"/>
    </row>
    <row r="915">
      <c r="A915" s="29"/>
      <c r="B915" s="29"/>
      <c r="G915" s="69"/>
    </row>
    <row r="916">
      <c r="A916" s="29"/>
      <c r="B916" s="29"/>
      <c r="G916" s="69"/>
    </row>
    <row r="917">
      <c r="A917" s="29"/>
      <c r="B917" s="29"/>
      <c r="G917" s="69"/>
    </row>
    <row r="918">
      <c r="A918" s="29"/>
      <c r="B918" s="29"/>
      <c r="G918" s="69"/>
    </row>
    <row r="919">
      <c r="A919" s="29"/>
      <c r="B919" s="29"/>
      <c r="G919" s="69"/>
    </row>
    <row r="920">
      <c r="A920" s="29"/>
      <c r="B920" s="29"/>
      <c r="G920" s="69"/>
    </row>
    <row r="921">
      <c r="A921" s="29"/>
      <c r="B921" s="29"/>
      <c r="G921" s="69"/>
    </row>
    <row r="922">
      <c r="A922" s="29"/>
      <c r="B922" s="29"/>
      <c r="G922" s="69"/>
    </row>
    <row r="923">
      <c r="A923" s="29"/>
      <c r="B923" s="29"/>
      <c r="G923" s="69"/>
    </row>
    <row r="924">
      <c r="A924" s="29"/>
      <c r="B924" s="29"/>
      <c r="G924" s="69"/>
    </row>
    <row r="925">
      <c r="A925" s="29"/>
      <c r="B925" s="29"/>
      <c r="G925" s="69"/>
    </row>
    <row r="926">
      <c r="A926" s="29"/>
      <c r="B926" s="29"/>
      <c r="G926" s="69"/>
    </row>
    <row r="927">
      <c r="A927" s="29"/>
      <c r="B927" s="29"/>
      <c r="G927" s="69"/>
    </row>
    <row r="928">
      <c r="A928" s="29"/>
      <c r="B928" s="29"/>
      <c r="G928" s="69"/>
    </row>
    <row r="929">
      <c r="A929" s="29"/>
      <c r="B929" s="29"/>
      <c r="G929" s="69"/>
    </row>
    <row r="930">
      <c r="A930" s="29"/>
      <c r="B930" s="29"/>
      <c r="G930" s="69"/>
    </row>
    <row r="931">
      <c r="A931" s="29"/>
      <c r="B931" s="29"/>
      <c r="G931" s="69"/>
    </row>
    <row r="932">
      <c r="A932" s="29"/>
      <c r="B932" s="29"/>
      <c r="G932" s="69"/>
    </row>
    <row r="933">
      <c r="A933" s="29"/>
      <c r="B933" s="29"/>
      <c r="G933" s="69"/>
    </row>
    <row r="934">
      <c r="A934" s="29"/>
      <c r="B934" s="29"/>
      <c r="G934" s="69"/>
    </row>
    <row r="935">
      <c r="A935" s="29"/>
      <c r="B935" s="29"/>
      <c r="G935" s="69"/>
    </row>
    <row r="936">
      <c r="A936" s="29"/>
      <c r="B936" s="29"/>
      <c r="G936" s="69"/>
    </row>
    <row r="937">
      <c r="A937" s="29"/>
      <c r="B937" s="29"/>
      <c r="G937" s="69"/>
    </row>
    <row r="938">
      <c r="A938" s="29"/>
      <c r="B938" s="29"/>
      <c r="G938" s="69"/>
    </row>
    <row r="939">
      <c r="A939" s="29"/>
      <c r="B939" s="29"/>
      <c r="G939" s="69"/>
    </row>
    <row r="940">
      <c r="A940" s="29"/>
      <c r="B940" s="29"/>
      <c r="G940" s="69"/>
    </row>
    <row r="941">
      <c r="A941" s="29"/>
      <c r="B941" s="29"/>
      <c r="G941" s="69"/>
    </row>
    <row r="942">
      <c r="A942" s="29"/>
      <c r="B942" s="29"/>
      <c r="G942" s="69"/>
    </row>
    <row r="943">
      <c r="A943" s="29"/>
      <c r="B943" s="29"/>
      <c r="G943" s="69"/>
    </row>
    <row r="944">
      <c r="A944" s="29"/>
      <c r="B944" s="29"/>
      <c r="G944" s="69"/>
    </row>
    <row r="945">
      <c r="A945" s="29"/>
      <c r="B945" s="29"/>
      <c r="G945" s="69"/>
    </row>
    <row r="946">
      <c r="A946" s="29"/>
      <c r="B946" s="29"/>
      <c r="G946" s="69"/>
    </row>
    <row r="947">
      <c r="A947" s="29"/>
      <c r="B947" s="29"/>
      <c r="G947" s="69"/>
    </row>
    <row r="948">
      <c r="A948" s="29"/>
      <c r="B948" s="29"/>
      <c r="G948" s="69"/>
    </row>
    <row r="949">
      <c r="A949" s="29"/>
      <c r="B949" s="29"/>
      <c r="G949" s="69"/>
    </row>
    <row r="950">
      <c r="A950" s="29"/>
      <c r="B950" s="29"/>
      <c r="G950" s="69"/>
    </row>
    <row r="951">
      <c r="A951" s="29"/>
      <c r="B951" s="29"/>
      <c r="G951" s="69"/>
    </row>
    <row r="952">
      <c r="A952" s="29"/>
      <c r="B952" s="29"/>
      <c r="G952" s="69"/>
    </row>
    <row r="953">
      <c r="A953" s="29"/>
      <c r="B953" s="29"/>
      <c r="G953" s="69"/>
    </row>
    <row r="954">
      <c r="A954" s="29"/>
      <c r="B954" s="29"/>
      <c r="G954" s="69"/>
    </row>
    <row r="955">
      <c r="A955" s="29"/>
      <c r="B955" s="29"/>
      <c r="G955" s="69"/>
    </row>
    <row r="956">
      <c r="A956" s="29"/>
      <c r="B956" s="29"/>
      <c r="G956" s="69"/>
    </row>
    <row r="957">
      <c r="A957" s="29"/>
      <c r="B957" s="29"/>
      <c r="G957" s="69"/>
    </row>
    <row r="958">
      <c r="A958" s="29"/>
      <c r="B958" s="29"/>
      <c r="G958" s="69"/>
    </row>
    <row r="959">
      <c r="A959" s="29"/>
      <c r="B959" s="29"/>
      <c r="G959" s="69"/>
    </row>
    <row r="960">
      <c r="A960" s="29"/>
      <c r="B960" s="29"/>
      <c r="G960" s="69"/>
    </row>
    <row r="961">
      <c r="A961" s="29"/>
      <c r="B961" s="29"/>
      <c r="G961" s="69"/>
    </row>
    <row r="962">
      <c r="A962" s="29"/>
      <c r="B962" s="29"/>
      <c r="G962" s="69"/>
    </row>
    <row r="963">
      <c r="A963" s="29"/>
      <c r="B963" s="29"/>
      <c r="G963" s="69"/>
    </row>
    <row r="964">
      <c r="A964" s="29"/>
      <c r="B964" s="29"/>
      <c r="G964" s="69"/>
    </row>
    <row r="965">
      <c r="A965" s="29"/>
      <c r="B965" s="29"/>
      <c r="G965" s="69"/>
    </row>
    <row r="966">
      <c r="A966" s="29"/>
      <c r="B966" s="29"/>
      <c r="G966" s="69"/>
    </row>
    <row r="967">
      <c r="A967" s="29"/>
      <c r="B967" s="29"/>
      <c r="G967" s="69"/>
    </row>
    <row r="968">
      <c r="A968" s="29"/>
      <c r="B968" s="29"/>
      <c r="G968" s="69"/>
    </row>
    <row r="969">
      <c r="A969" s="29"/>
      <c r="B969" s="29"/>
      <c r="G969" s="69"/>
    </row>
    <row r="970">
      <c r="A970" s="29"/>
      <c r="B970" s="29"/>
      <c r="G970" s="69"/>
    </row>
    <row r="971">
      <c r="A971" s="29"/>
      <c r="B971" s="29"/>
      <c r="G971" s="69"/>
    </row>
    <row r="972">
      <c r="A972" s="29"/>
      <c r="B972" s="29"/>
      <c r="G972" s="69"/>
    </row>
    <row r="973">
      <c r="A973" s="29"/>
      <c r="B973" s="29"/>
      <c r="G973" s="69"/>
    </row>
    <row r="974">
      <c r="A974" s="29"/>
      <c r="B974" s="29"/>
      <c r="G974" s="69"/>
    </row>
    <row r="975">
      <c r="A975" s="29"/>
      <c r="B975" s="29"/>
      <c r="G975" s="69"/>
    </row>
    <row r="976">
      <c r="A976" s="29"/>
      <c r="B976" s="29"/>
      <c r="G976" s="69"/>
    </row>
    <row r="977">
      <c r="A977" s="29"/>
      <c r="B977" s="29"/>
      <c r="G977" s="69"/>
    </row>
    <row r="978">
      <c r="A978" s="29"/>
      <c r="B978" s="29"/>
      <c r="G978" s="69"/>
    </row>
    <row r="979">
      <c r="A979" s="29"/>
      <c r="B979" s="29"/>
      <c r="G979" s="69"/>
    </row>
    <row r="980">
      <c r="A980" s="29"/>
      <c r="B980" s="29"/>
      <c r="G980" s="69"/>
    </row>
    <row r="981">
      <c r="A981" s="29"/>
      <c r="B981" s="29"/>
      <c r="G981" s="69"/>
    </row>
    <row r="982">
      <c r="A982" s="29"/>
      <c r="B982" s="29"/>
      <c r="G982" s="69"/>
    </row>
    <row r="983">
      <c r="A983" s="29"/>
      <c r="B983" s="29"/>
      <c r="G983" s="69"/>
    </row>
    <row r="984">
      <c r="A984" s="29"/>
      <c r="B984" s="29"/>
      <c r="G984" s="69"/>
    </row>
    <row r="985">
      <c r="A985" s="29"/>
      <c r="B985" s="29"/>
      <c r="G985" s="69"/>
    </row>
    <row r="986">
      <c r="A986" s="29"/>
      <c r="B986" s="29"/>
      <c r="G986" s="69"/>
    </row>
    <row r="987">
      <c r="A987" s="29"/>
      <c r="B987" s="29"/>
      <c r="G987" s="69"/>
    </row>
    <row r="988">
      <c r="A988" s="29"/>
      <c r="B988" s="29"/>
      <c r="G988" s="69"/>
    </row>
    <row r="989">
      <c r="A989" s="29"/>
      <c r="B989" s="29"/>
      <c r="G989" s="69"/>
    </row>
    <row r="990">
      <c r="A990" s="29"/>
      <c r="B990" s="29"/>
      <c r="G990" s="69"/>
    </row>
    <row r="991">
      <c r="A991" s="29"/>
      <c r="B991" s="29"/>
      <c r="G991" s="69"/>
    </row>
    <row r="992">
      <c r="A992" s="29"/>
      <c r="B992" s="29"/>
      <c r="G992" s="69"/>
    </row>
    <row r="993">
      <c r="A993" s="29"/>
      <c r="B993" s="29"/>
      <c r="G993" s="69"/>
    </row>
    <row r="994">
      <c r="A994" s="29"/>
      <c r="B994" s="29"/>
      <c r="G994" s="69"/>
    </row>
    <row r="995">
      <c r="A995" s="29"/>
      <c r="B995" s="29"/>
      <c r="G995" s="69"/>
    </row>
    <row r="996">
      <c r="A996" s="29"/>
      <c r="B996" s="29"/>
      <c r="G996" s="69"/>
    </row>
    <row r="997">
      <c r="A997" s="29"/>
      <c r="B997" s="29"/>
      <c r="G997" s="69"/>
    </row>
    <row r="998">
      <c r="A998" s="29"/>
      <c r="B998" s="29"/>
      <c r="G998" s="69"/>
    </row>
    <row r="999">
      <c r="A999" s="29"/>
      <c r="B999" s="29"/>
      <c r="G999" s="69"/>
    </row>
    <row r="1000">
      <c r="A1000" s="29"/>
      <c r="B1000" s="29"/>
      <c r="G1000" s="69"/>
    </row>
    <row r="1001">
      <c r="A1001" s="29"/>
      <c r="B1001" s="29"/>
      <c r="G1001" s="69"/>
    </row>
  </sheetData>
  <autoFilter ref="$A$2:$V$129">
    <sortState ref="A2:V129">
      <sortCondition ref="G2:G129"/>
    </sortState>
  </autoFilter>
  <mergeCells count="1">
    <mergeCell ref="J1:U1"/>
  </mergeCells>
  <dataValidations>
    <dataValidation type="list" allowBlank="1" showErrorMessage="1" sqref="E91">
      <formula1>"Married,Single,Widowed"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2"/>
    </row>
    <row r="2">
      <c r="A2" s="9" t="s">
        <v>0</v>
      </c>
      <c r="B2" s="9" t="s">
        <v>2</v>
      </c>
      <c r="C2" s="9" t="s">
        <v>3</v>
      </c>
      <c r="D2" s="13" t="s">
        <v>4</v>
      </c>
      <c r="E2" s="13" t="s">
        <v>5</v>
      </c>
      <c r="F2" s="9" t="s">
        <v>6</v>
      </c>
      <c r="G2" s="13" t="s">
        <v>7</v>
      </c>
      <c r="H2" s="18" t="s">
        <v>13</v>
      </c>
      <c r="I2" s="12"/>
      <c r="J2" s="23" t="s">
        <v>17</v>
      </c>
      <c r="K2" s="12"/>
      <c r="L2" s="23" t="s">
        <v>18</v>
      </c>
      <c r="M2" s="12"/>
      <c r="N2" s="23" t="s">
        <v>20</v>
      </c>
      <c r="O2" s="12"/>
      <c r="P2" s="28"/>
      <c r="Q2" s="28"/>
      <c r="R2" s="28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>
      <c r="A3" s="30"/>
      <c r="B3" s="30"/>
      <c r="C3" s="30"/>
      <c r="D3" s="30"/>
      <c r="E3" s="30"/>
      <c r="F3" s="30"/>
      <c r="G3" s="30"/>
      <c r="H3" s="32" t="s">
        <v>31</v>
      </c>
      <c r="I3" s="32" t="s">
        <v>32</v>
      </c>
      <c r="J3" s="33" t="s">
        <v>9</v>
      </c>
      <c r="K3" s="33" t="s">
        <v>32</v>
      </c>
      <c r="L3" s="33" t="s">
        <v>9</v>
      </c>
      <c r="M3" s="33" t="s">
        <v>32</v>
      </c>
      <c r="N3" s="34" t="s">
        <v>11</v>
      </c>
      <c r="O3" s="33" t="s">
        <v>32</v>
      </c>
      <c r="P3" s="28"/>
      <c r="Q3" s="28"/>
      <c r="R3" s="28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>
      <c r="A4" s="36"/>
      <c r="B4" s="36"/>
      <c r="C4" s="36"/>
      <c r="D4" s="28"/>
      <c r="E4" s="28"/>
      <c r="F4" s="36"/>
      <c r="G4" s="43"/>
      <c r="H4" s="44"/>
      <c r="I4" s="44"/>
      <c r="J4" s="46"/>
      <c r="K4" s="28"/>
      <c r="L4" s="28"/>
      <c r="M4" s="28"/>
      <c r="N4" s="28"/>
      <c r="O4" s="28"/>
      <c r="P4" s="28"/>
      <c r="Q4" s="28"/>
      <c r="R4" s="28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50">
        <v>1.0</v>
      </c>
      <c r="B5" s="36" t="s">
        <v>51</v>
      </c>
      <c r="C5" s="36" t="s">
        <v>52</v>
      </c>
      <c r="D5" s="28" t="s">
        <v>53</v>
      </c>
      <c r="E5" s="28"/>
      <c r="F5" s="36"/>
      <c r="G5" s="52" t="s">
        <v>56</v>
      </c>
      <c r="H5" s="44"/>
      <c r="I5" s="53">
        <v>200.0</v>
      </c>
      <c r="J5" s="54">
        <v>46215.0</v>
      </c>
      <c r="K5" s="55">
        <v>200.0</v>
      </c>
      <c r="L5" s="28"/>
      <c r="M5" s="28"/>
      <c r="N5" s="28"/>
      <c r="O5" s="28"/>
      <c r="P5" s="28"/>
      <c r="Q5" s="28"/>
      <c r="R5" s="28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50">
        <v>2.0</v>
      </c>
      <c r="B6" s="36" t="s">
        <v>65</v>
      </c>
      <c r="C6" s="36" t="s">
        <v>66</v>
      </c>
      <c r="D6" s="28"/>
      <c r="E6" s="28"/>
      <c r="F6" s="36"/>
      <c r="G6" s="52" t="s">
        <v>56</v>
      </c>
      <c r="H6" s="44"/>
      <c r="I6" s="53">
        <v>200.0</v>
      </c>
      <c r="J6" s="28"/>
      <c r="K6" s="28"/>
      <c r="L6" s="28"/>
      <c r="M6" s="28"/>
      <c r="N6" s="28"/>
      <c r="O6" s="28"/>
      <c r="P6" s="28"/>
      <c r="Q6" s="28"/>
      <c r="R6" s="28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50">
        <v>3.0</v>
      </c>
      <c r="B7" s="36" t="s">
        <v>73</v>
      </c>
      <c r="C7" s="36" t="s">
        <v>74</v>
      </c>
      <c r="D7" s="28"/>
      <c r="E7" s="28"/>
      <c r="F7" s="36"/>
      <c r="G7" s="52" t="s">
        <v>56</v>
      </c>
      <c r="H7" s="44"/>
      <c r="I7" s="53">
        <v>200.0</v>
      </c>
      <c r="J7" s="54">
        <v>46215.0</v>
      </c>
      <c r="K7" s="55">
        <v>200.0</v>
      </c>
      <c r="L7" s="28"/>
      <c r="M7" s="28"/>
      <c r="N7" s="28"/>
      <c r="O7" s="28"/>
      <c r="P7" s="28"/>
      <c r="Q7" s="28"/>
      <c r="R7" s="28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50">
        <v>4.0</v>
      </c>
      <c r="B8" s="36" t="s">
        <v>73</v>
      </c>
      <c r="C8" s="36" t="s">
        <v>81</v>
      </c>
      <c r="D8" s="28" t="s">
        <v>82</v>
      </c>
      <c r="E8" s="28"/>
      <c r="F8" s="36"/>
      <c r="G8" s="52" t="s">
        <v>56</v>
      </c>
      <c r="H8" s="44"/>
      <c r="I8" s="53">
        <v>200.0</v>
      </c>
      <c r="J8" s="54">
        <v>46215.0</v>
      </c>
      <c r="K8" s="55">
        <v>200.0</v>
      </c>
      <c r="L8" s="28"/>
      <c r="M8" s="28"/>
      <c r="N8" s="28"/>
      <c r="O8" s="28"/>
      <c r="P8" s="28"/>
      <c r="Q8" s="28"/>
      <c r="R8" s="28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50">
        <v>5.0</v>
      </c>
      <c r="B9" s="36" t="s">
        <v>73</v>
      </c>
      <c r="C9" s="36" t="s">
        <v>88</v>
      </c>
      <c r="D9" s="36" t="s">
        <v>82</v>
      </c>
      <c r="E9" s="28"/>
      <c r="F9" s="36"/>
      <c r="G9" s="52" t="s">
        <v>56</v>
      </c>
      <c r="H9" s="44"/>
      <c r="I9" s="53">
        <v>200.0</v>
      </c>
      <c r="J9" s="28"/>
      <c r="K9" s="28"/>
      <c r="L9" s="28"/>
      <c r="M9" s="28"/>
      <c r="N9" s="28"/>
      <c r="O9" s="28"/>
      <c r="P9" s="28"/>
      <c r="Q9" s="28"/>
      <c r="R9" s="28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50">
        <v>6.0</v>
      </c>
      <c r="B10" s="36" t="s">
        <v>73</v>
      </c>
      <c r="C10" s="36" t="s">
        <v>92</v>
      </c>
      <c r="D10" s="28" t="s">
        <v>82</v>
      </c>
      <c r="E10" s="28"/>
      <c r="F10" s="36"/>
      <c r="G10" s="52" t="s">
        <v>56</v>
      </c>
      <c r="H10" s="44"/>
      <c r="I10" s="53">
        <v>200.0</v>
      </c>
      <c r="J10" s="28"/>
      <c r="K10" s="28"/>
      <c r="L10" s="28"/>
      <c r="M10" s="29"/>
      <c r="N10" s="29"/>
      <c r="O10" s="28"/>
      <c r="P10" s="28"/>
      <c r="Q10" s="28"/>
      <c r="R10" s="28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50">
        <v>7.0</v>
      </c>
      <c r="B11" s="36" t="s">
        <v>94</v>
      </c>
      <c r="C11" s="36" t="s">
        <v>95</v>
      </c>
      <c r="D11" s="28"/>
      <c r="E11" s="28"/>
      <c r="F11" s="36"/>
      <c r="G11" s="52" t="s">
        <v>56</v>
      </c>
      <c r="H11" s="44"/>
      <c r="I11" s="53">
        <v>200.0</v>
      </c>
      <c r="J11" s="54">
        <v>46215.0</v>
      </c>
      <c r="K11" s="55">
        <v>200.0</v>
      </c>
      <c r="L11" s="28"/>
      <c r="M11" s="28"/>
      <c r="N11" s="28"/>
      <c r="O11" s="28"/>
      <c r="P11" s="28"/>
      <c r="Q11" s="28"/>
      <c r="R11" s="28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50">
        <v>8.0</v>
      </c>
      <c r="B12" s="36" t="s">
        <v>105</v>
      </c>
      <c r="C12" s="36" t="s">
        <v>106</v>
      </c>
      <c r="D12" s="36" t="s">
        <v>107</v>
      </c>
      <c r="E12" s="28"/>
      <c r="F12" s="36"/>
      <c r="G12" s="52" t="s">
        <v>56</v>
      </c>
      <c r="H12" s="44"/>
      <c r="I12" s="53">
        <v>200.0</v>
      </c>
      <c r="J12" s="54">
        <v>46215.0</v>
      </c>
      <c r="K12" s="55">
        <v>200.0</v>
      </c>
      <c r="L12" s="28"/>
      <c r="M12" s="28"/>
      <c r="N12" s="28"/>
      <c r="O12" s="28"/>
      <c r="P12" s="28"/>
      <c r="Q12" s="28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50">
        <v>9.0</v>
      </c>
      <c r="B13" s="36" t="s">
        <v>105</v>
      </c>
      <c r="C13" s="36" t="s">
        <v>117</v>
      </c>
      <c r="D13" s="36" t="s">
        <v>121</v>
      </c>
      <c r="E13" s="28"/>
      <c r="F13" s="36"/>
      <c r="G13" s="52" t="s">
        <v>56</v>
      </c>
      <c r="H13" s="44"/>
      <c r="I13" s="53">
        <v>200.0</v>
      </c>
      <c r="J13" s="28"/>
      <c r="K13" s="28"/>
      <c r="L13" s="28"/>
      <c r="M13" s="28"/>
      <c r="N13" s="28"/>
      <c r="O13" s="28"/>
      <c r="P13" s="28"/>
      <c r="Q13" s="28"/>
      <c r="R13" s="28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50">
        <v>10.0</v>
      </c>
      <c r="B14" s="36" t="s">
        <v>105</v>
      </c>
      <c r="C14" s="36" t="s">
        <v>129</v>
      </c>
      <c r="D14" s="28"/>
      <c r="E14" s="28"/>
      <c r="F14" s="36"/>
      <c r="G14" s="52" t="s">
        <v>56</v>
      </c>
      <c r="H14" s="44"/>
      <c r="I14" s="53">
        <v>200.0</v>
      </c>
      <c r="J14" s="54">
        <v>46215.0</v>
      </c>
      <c r="K14" s="55">
        <v>200.0</v>
      </c>
      <c r="L14" s="28"/>
      <c r="M14" s="28"/>
      <c r="N14" s="28"/>
      <c r="O14" s="28"/>
      <c r="P14" s="28"/>
      <c r="Q14" s="28"/>
      <c r="R14" s="28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50">
        <v>11.0</v>
      </c>
      <c r="B15" s="36" t="s">
        <v>98</v>
      </c>
      <c r="C15" s="36" t="s">
        <v>99</v>
      </c>
      <c r="D15" s="28"/>
      <c r="E15" s="28"/>
      <c r="F15" s="36"/>
      <c r="G15" s="52" t="s">
        <v>56</v>
      </c>
      <c r="H15" s="44"/>
      <c r="I15" s="53">
        <v>200.0</v>
      </c>
      <c r="J15" s="54">
        <v>46215.0</v>
      </c>
      <c r="K15" s="55">
        <v>200.0</v>
      </c>
      <c r="L15" s="28"/>
      <c r="M15" s="28"/>
      <c r="N15" s="28"/>
      <c r="O15" s="28"/>
      <c r="P15" s="28"/>
      <c r="Q15" s="28"/>
      <c r="R15" s="28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50">
        <v>12.0</v>
      </c>
      <c r="B16" s="36" t="s">
        <v>101</v>
      </c>
      <c r="C16" s="36" t="s">
        <v>103</v>
      </c>
      <c r="D16" s="28"/>
      <c r="E16" s="28"/>
      <c r="F16" s="36"/>
      <c r="G16" s="52" t="s">
        <v>56</v>
      </c>
      <c r="H16" s="44"/>
      <c r="I16" s="53">
        <v>200.0</v>
      </c>
      <c r="J16" s="28"/>
      <c r="K16" s="28"/>
      <c r="L16" s="28"/>
      <c r="M16" s="28"/>
      <c r="N16" s="28"/>
      <c r="O16" s="28"/>
      <c r="P16" s="28"/>
      <c r="Q16" s="28"/>
      <c r="R16" s="28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50">
        <v>13.0</v>
      </c>
      <c r="B17" s="36" t="s">
        <v>149</v>
      </c>
      <c r="C17" s="36" t="s">
        <v>102</v>
      </c>
      <c r="D17" s="28" t="s">
        <v>53</v>
      </c>
      <c r="E17" s="28"/>
      <c r="F17" s="36"/>
      <c r="G17" s="52" t="s">
        <v>56</v>
      </c>
      <c r="H17" s="44"/>
      <c r="I17" s="53">
        <v>200.0</v>
      </c>
      <c r="J17" s="28"/>
      <c r="K17" s="28"/>
      <c r="L17" s="28"/>
      <c r="M17" s="28"/>
      <c r="N17" s="28"/>
      <c r="O17" s="28"/>
      <c r="P17" s="28"/>
      <c r="Q17" s="28"/>
      <c r="R17" s="28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50">
        <v>14.0</v>
      </c>
      <c r="B18" s="36" t="s">
        <v>108</v>
      </c>
      <c r="C18" s="36" t="s">
        <v>109</v>
      </c>
      <c r="D18" s="36" t="s">
        <v>110</v>
      </c>
      <c r="E18" s="28"/>
      <c r="F18" s="36"/>
      <c r="G18" s="52" t="s">
        <v>56</v>
      </c>
      <c r="H18" s="44"/>
      <c r="I18" s="53">
        <v>200.0</v>
      </c>
      <c r="J18" s="28"/>
      <c r="K18" s="28"/>
      <c r="L18" s="28"/>
      <c r="M18" s="28"/>
      <c r="N18" s="28"/>
      <c r="O18" s="28"/>
      <c r="P18" s="28"/>
      <c r="Q18" s="28"/>
      <c r="R18" s="28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50">
        <v>15.0</v>
      </c>
      <c r="B19" s="36" t="s">
        <v>111</v>
      </c>
      <c r="C19" s="36" t="s">
        <v>113</v>
      </c>
      <c r="D19" s="36"/>
      <c r="E19" s="28"/>
      <c r="F19" s="36"/>
      <c r="G19" s="52" t="s">
        <v>56</v>
      </c>
      <c r="H19" s="44"/>
      <c r="I19" s="53">
        <v>200.0</v>
      </c>
      <c r="J19" s="28"/>
      <c r="K19" s="28"/>
      <c r="L19" s="28"/>
      <c r="M19" s="28"/>
      <c r="N19" s="28"/>
      <c r="O19" s="28"/>
      <c r="P19" s="28"/>
      <c r="Q19" s="28"/>
      <c r="R19" s="28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50">
        <v>16.0</v>
      </c>
      <c r="B20" s="36" t="s">
        <v>115</v>
      </c>
      <c r="C20" s="36" t="s">
        <v>116</v>
      </c>
      <c r="D20" s="28"/>
      <c r="E20" s="28"/>
      <c r="F20" s="36"/>
      <c r="G20" s="52" t="s">
        <v>56</v>
      </c>
      <c r="H20" s="44"/>
      <c r="I20" s="53">
        <v>200.0</v>
      </c>
      <c r="J20" s="54">
        <v>46215.0</v>
      </c>
      <c r="K20" s="55">
        <v>200.0</v>
      </c>
      <c r="L20" s="28"/>
      <c r="M20" s="28"/>
      <c r="N20" s="28"/>
      <c r="O20" s="28"/>
      <c r="P20" s="28"/>
      <c r="Q20" s="28"/>
      <c r="R20" s="28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50">
        <v>17.0</v>
      </c>
      <c r="B21" s="36" t="s">
        <v>115</v>
      </c>
      <c r="C21" s="36" t="s">
        <v>158</v>
      </c>
      <c r="D21" s="36"/>
      <c r="E21" s="28"/>
      <c r="F21" s="36"/>
      <c r="G21" s="52" t="s">
        <v>56</v>
      </c>
      <c r="H21" s="44"/>
      <c r="I21" s="53">
        <v>200.0</v>
      </c>
      <c r="J21" s="54">
        <v>46215.0</v>
      </c>
      <c r="K21" s="55">
        <v>200.0</v>
      </c>
      <c r="L21" s="28"/>
      <c r="M21" s="28"/>
      <c r="N21" s="28"/>
      <c r="O21" s="28"/>
      <c r="P21" s="28"/>
      <c r="Q21" s="28"/>
      <c r="R21" s="28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55">
        <v>18.0</v>
      </c>
      <c r="B22" s="28" t="s">
        <v>152</v>
      </c>
      <c r="C22" s="28" t="s">
        <v>153</v>
      </c>
      <c r="D22" s="28" t="s">
        <v>155</v>
      </c>
      <c r="E22" s="28"/>
      <c r="F22" s="28"/>
      <c r="G22" s="52" t="s">
        <v>56</v>
      </c>
      <c r="H22" s="44"/>
      <c r="I22" s="53">
        <v>200.0</v>
      </c>
      <c r="J22" s="28"/>
      <c r="K22" s="28"/>
      <c r="L22" s="28"/>
      <c r="M22" s="28"/>
      <c r="N22" s="28"/>
      <c r="O22" s="28"/>
      <c r="P22" s="28"/>
      <c r="Q22" s="28"/>
      <c r="R22" s="28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55">
        <v>19.0</v>
      </c>
      <c r="B23" s="28" t="s">
        <v>159</v>
      </c>
      <c r="C23" s="28" t="s">
        <v>52</v>
      </c>
      <c r="D23" s="28" t="s">
        <v>160</v>
      </c>
      <c r="E23" s="28"/>
      <c r="F23" s="28"/>
      <c r="G23" s="52" t="s">
        <v>56</v>
      </c>
      <c r="H23" s="44"/>
      <c r="I23" s="53">
        <v>200.0</v>
      </c>
      <c r="J23" s="28"/>
      <c r="K23" s="28"/>
      <c r="L23" s="46"/>
      <c r="M23" s="28"/>
      <c r="N23" s="29"/>
      <c r="O23" s="28"/>
      <c r="P23" s="28"/>
      <c r="Q23" s="28"/>
      <c r="R23" s="28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55">
        <v>20.0</v>
      </c>
      <c r="B24" s="28" t="s">
        <v>118</v>
      </c>
      <c r="C24" s="28" t="s">
        <v>119</v>
      </c>
      <c r="D24" s="28"/>
      <c r="E24" s="28"/>
      <c r="F24" s="28"/>
      <c r="G24" s="52" t="s">
        <v>56</v>
      </c>
      <c r="H24" s="44"/>
      <c r="I24" s="53">
        <v>200.0</v>
      </c>
      <c r="J24" s="54">
        <v>46215.0</v>
      </c>
      <c r="K24" s="55">
        <v>200.0</v>
      </c>
      <c r="L24" s="28"/>
      <c r="M24" s="28"/>
      <c r="N24" s="28"/>
      <c r="O24" s="28"/>
      <c r="P24" s="28"/>
      <c r="Q24" s="28"/>
      <c r="R24" s="28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55">
        <v>21.0</v>
      </c>
      <c r="B25" s="28" t="s">
        <v>123</v>
      </c>
      <c r="C25" s="28" t="s">
        <v>124</v>
      </c>
      <c r="D25" s="28"/>
      <c r="E25" s="28"/>
      <c r="F25" s="28"/>
      <c r="G25" s="52" t="s">
        <v>56</v>
      </c>
      <c r="H25" s="44"/>
      <c r="I25" s="53">
        <v>200.0</v>
      </c>
      <c r="J25" s="28"/>
      <c r="K25" s="28"/>
      <c r="L25" s="28"/>
      <c r="M25" s="28"/>
      <c r="N25" s="28"/>
      <c r="O25" s="28"/>
      <c r="P25" s="28"/>
      <c r="Q25" s="28"/>
      <c r="R25" s="28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55">
        <v>22.0</v>
      </c>
      <c r="B26" s="28" t="s">
        <v>125</v>
      </c>
      <c r="C26" s="28" t="s">
        <v>126</v>
      </c>
      <c r="D26" s="28" t="s">
        <v>127</v>
      </c>
      <c r="E26" s="28"/>
      <c r="F26" s="28"/>
      <c r="G26" s="52" t="s">
        <v>56</v>
      </c>
      <c r="H26" s="44"/>
      <c r="I26" s="53">
        <v>200.0</v>
      </c>
      <c r="J26" s="54">
        <v>46215.0</v>
      </c>
      <c r="K26" s="55">
        <v>200.0</v>
      </c>
      <c r="L26" s="28"/>
      <c r="M26" s="28"/>
      <c r="N26" s="28"/>
      <c r="O26" s="28"/>
      <c r="P26" s="28"/>
      <c r="Q26" s="28"/>
      <c r="R26" s="28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55">
        <v>23.0</v>
      </c>
      <c r="B27" s="28" t="s">
        <v>195</v>
      </c>
      <c r="C27" s="28" t="s">
        <v>197</v>
      </c>
      <c r="D27" s="28" t="s">
        <v>167</v>
      </c>
      <c r="E27" s="28"/>
      <c r="F27" s="28"/>
      <c r="G27" s="52" t="s">
        <v>56</v>
      </c>
      <c r="H27" s="44"/>
      <c r="I27" s="53">
        <v>200.0</v>
      </c>
      <c r="J27" s="28"/>
      <c r="K27" s="28"/>
      <c r="L27" s="28" t="s">
        <v>200</v>
      </c>
      <c r="M27" s="28"/>
      <c r="N27" s="28"/>
      <c r="O27" s="28"/>
      <c r="P27" s="28"/>
      <c r="Q27" s="28"/>
      <c r="R27" s="28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55">
        <v>24.0</v>
      </c>
      <c r="B28" s="28" t="s">
        <v>163</v>
      </c>
      <c r="C28" s="28" t="s">
        <v>164</v>
      </c>
      <c r="D28" s="28" t="s">
        <v>165</v>
      </c>
      <c r="E28" s="28"/>
      <c r="F28" s="28"/>
      <c r="G28" s="52" t="s">
        <v>56</v>
      </c>
      <c r="H28" s="44"/>
      <c r="I28" s="53">
        <v>200.0</v>
      </c>
      <c r="J28" s="28"/>
      <c r="K28" s="28"/>
      <c r="L28" s="28"/>
      <c r="M28" s="28"/>
      <c r="N28" s="28"/>
      <c r="O28" s="28"/>
      <c r="P28" s="28"/>
      <c r="Q28" s="28"/>
      <c r="R28" s="28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55">
        <v>25.0</v>
      </c>
      <c r="B29" s="28" t="s">
        <v>131</v>
      </c>
      <c r="C29" s="28" t="s">
        <v>132</v>
      </c>
      <c r="D29" s="28"/>
      <c r="E29" s="28"/>
      <c r="F29" s="28"/>
      <c r="G29" s="52" t="s">
        <v>56</v>
      </c>
      <c r="H29" s="44"/>
      <c r="I29" s="53">
        <v>200.0</v>
      </c>
      <c r="J29" s="28"/>
      <c r="K29" s="28"/>
      <c r="L29" s="28"/>
      <c r="M29" s="28"/>
      <c r="N29" s="28"/>
      <c r="O29" s="28"/>
      <c r="P29" s="28"/>
      <c r="Q29" s="28"/>
      <c r="R29" s="28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55">
        <v>26.0</v>
      </c>
      <c r="B30" s="28" t="s">
        <v>133</v>
      </c>
      <c r="C30" s="28" t="s">
        <v>134</v>
      </c>
      <c r="D30" s="28"/>
      <c r="E30" s="28"/>
      <c r="F30" s="28"/>
      <c r="G30" s="52" t="s">
        <v>56</v>
      </c>
      <c r="H30" s="44"/>
      <c r="I30" s="53">
        <v>200.0</v>
      </c>
      <c r="J30" s="54">
        <v>46215.0</v>
      </c>
      <c r="K30" s="55">
        <v>200.0</v>
      </c>
      <c r="L30" s="28"/>
      <c r="M30" s="28"/>
      <c r="N30" s="28"/>
      <c r="O30" s="28"/>
      <c r="P30" s="28"/>
      <c r="Q30" s="28"/>
      <c r="R30" s="28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55">
        <v>27.0</v>
      </c>
      <c r="B31" s="28" t="s">
        <v>145</v>
      </c>
      <c r="C31" s="28" t="s">
        <v>146</v>
      </c>
      <c r="D31" s="28"/>
      <c r="E31" s="28"/>
      <c r="F31" s="28"/>
      <c r="G31" s="52" t="s">
        <v>56</v>
      </c>
      <c r="H31" s="44"/>
      <c r="I31" s="53">
        <v>200.0</v>
      </c>
      <c r="J31" s="28"/>
      <c r="K31" s="28"/>
      <c r="L31" s="28"/>
      <c r="M31" s="28"/>
      <c r="N31" s="28"/>
      <c r="O31" s="28"/>
      <c r="P31" s="28"/>
      <c r="Q31" s="28"/>
      <c r="R31" s="28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55">
        <v>28.0</v>
      </c>
      <c r="B32" s="28" t="s">
        <v>212</v>
      </c>
      <c r="C32" s="28" t="s">
        <v>213</v>
      </c>
      <c r="D32" s="28"/>
      <c r="E32" s="28"/>
      <c r="F32" s="28"/>
      <c r="G32" s="52" t="s">
        <v>56</v>
      </c>
      <c r="H32" s="44"/>
      <c r="I32" s="53">
        <v>200.0</v>
      </c>
      <c r="J32" s="28"/>
      <c r="K32" s="28"/>
      <c r="L32" s="28"/>
      <c r="M32" s="28"/>
      <c r="N32" s="28"/>
      <c r="O32" s="28"/>
      <c r="P32" s="28"/>
      <c r="Q32" s="28"/>
      <c r="R32" s="28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55">
        <v>29.0</v>
      </c>
      <c r="B33" s="28" t="s">
        <v>198</v>
      </c>
      <c r="C33" s="28" t="s">
        <v>199</v>
      </c>
      <c r="D33" s="28" t="s">
        <v>165</v>
      </c>
      <c r="E33" s="28"/>
      <c r="F33" s="28"/>
      <c r="G33" s="52" t="s">
        <v>56</v>
      </c>
      <c r="H33" s="44"/>
      <c r="I33" s="53">
        <v>200.0</v>
      </c>
      <c r="J33" s="28"/>
      <c r="K33" s="28"/>
      <c r="L33" s="28"/>
      <c r="M33" s="28"/>
      <c r="N33" s="28"/>
      <c r="O33" s="28"/>
      <c r="P33" s="28"/>
      <c r="Q33" s="28"/>
      <c r="R33" s="28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55">
        <v>30.0</v>
      </c>
      <c r="B34" s="28" t="s">
        <v>166</v>
      </c>
      <c r="C34" s="28" t="s">
        <v>58</v>
      </c>
      <c r="D34" s="28" t="s">
        <v>167</v>
      </c>
      <c r="E34" s="28"/>
      <c r="F34" s="28"/>
      <c r="G34" s="52" t="s">
        <v>56</v>
      </c>
      <c r="H34" s="44"/>
      <c r="I34" s="53">
        <v>200.0</v>
      </c>
      <c r="J34" s="28"/>
      <c r="K34" s="28"/>
      <c r="L34" s="28"/>
      <c r="M34" s="28"/>
      <c r="N34" s="28"/>
      <c r="O34" s="28"/>
      <c r="P34" s="28"/>
      <c r="Q34" s="28"/>
      <c r="R34" s="28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55">
        <v>31.0</v>
      </c>
      <c r="B35" s="28" t="s">
        <v>138</v>
      </c>
      <c r="C35" s="28" t="s">
        <v>84</v>
      </c>
      <c r="D35" s="28"/>
      <c r="E35" s="28"/>
      <c r="F35" s="28"/>
      <c r="G35" s="52" t="s">
        <v>56</v>
      </c>
      <c r="H35" s="44"/>
      <c r="I35" s="53">
        <v>200.0</v>
      </c>
      <c r="J35" s="28"/>
      <c r="K35" s="28"/>
      <c r="L35" s="62"/>
      <c r="M35" s="29"/>
      <c r="N35" s="29"/>
      <c r="O35" s="28"/>
      <c r="P35" s="28"/>
      <c r="Q35" s="28"/>
      <c r="R35" s="28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55">
        <v>32.0</v>
      </c>
      <c r="B36" s="28" t="s">
        <v>201</v>
      </c>
      <c r="C36" s="28" t="s">
        <v>113</v>
      </c>
      <c r="D36" s="28" t="s">
        <v>160</v>
      </c>
      <c r="E36" s="28"/>
      <c r="F36" s="28"/>
      <c r="G36" s="52" t="s">
        <v>56</v>
      </c>
      <c r="H36" s="44"/>
      <c r="I36" s="53">
        <v>200.0</v>
      </c>
      <c r="J36" s="28"/>
      <c r="K36" s="28"/>
      <c r="L36" s="28"/>
      <c r="M36" s="28"/>
      <c r="N36" s="28"/>
      <c r="O36" s="28"/>
      <c r="P36" s="28"/>
      <c r="Q36" s="28"/>
      <c r="R36" s="28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55">
        <v>33.0</v>
      </c>
      <c r="B37" s="28" t="s">
        <v>171</v>
      </c>
      <c r="C37" s="28" t="s">
        <v>30</v>
      </c>
      <c r="D37" s="28"/>
      <c r="E37" s="28"/>
      <c r="F37" s="28"/>
      <c r="G37" s="52" t="s">
        <v>56</v>
      </c>
      <c r="H37" s="44"/>
      <c r="I37" s="53">
        <v>200.0</v>
      </c>
      <c r="J37" s="54">
        <v>46215.0</v>
      </c>
      <c r="K37" s="55">
        <v>200.0</v>
      </c>
      <c r="L37" s="28"/>
      <c r="M37" s="28"/>
      <c r="N37" s="28"/>
      <c r="O37" s="28"/>
      <c r="P37" s="28"/>
      <c r="Q37" s="28"/>
      <c r="R37" s="28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55">
        <v>34.0</v>
      </c>
      <c r="B38" s="28" t="s">
        <v>139</v>
      </c>
      <c r="C38" s="28" t="s">
        <v>140</v>
      </c>
      <c r="D38" s="28"/>
      <c r="E38" s="28"/>
      <c r="F38" s="28"/>
      <c r="G38" s="52" t="s">
        <v>56</v>
      </c>
      <c r="H38" s="44"/>
      <c r="I38" s="53">
        <v>200.0</v>
      </c>
      <c r="J38" s="28"/>
      <c r="K38" s="28"/>
      <c r="L38" s="28"/>
      <c r="M38" s="28"/>
      <c r="N38" s="28"/>
      <c r="O38" s="28"/>
      <c r="P38" s="28"/>
      <c r="Q38" s="28"/>
      <c r="R38" s="28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55">
        <v>35.0</v>
      </c>
      <c r="B39" s="28" t="s">
        <v>139</v>
      </c>
      <c r="C39" s="28" t="s">
        <v>170</v>
      </c>
      <c r="D39" s="28"/>
      <c r="E39" s="28"/>
      <c r="F39" s="28"/>
      <c r="G39" s="52" t="s">
        <v>56</v>
      </c>
      <c r="H39" s="44"/>
      <c r="I39" s="53">
        <v>200.0</v>
      </c>
      <c r="J39" s="28"/>
      <c r="K39" s="28"/>
      <c r="L39" s="28"/>
      <c r="M39" s="28"/>
      <c r="N39" s="28"/>
      <c r="O39" s="28"/>
      <c r="P39" s="28"/>
      <c r="Q39" s="28"/>
      <c r="R39" s="28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55">
        <v>36.0</v>
      </c>
      <c r="B40" s="28" t="s">
        <v>202</v>
      </c>
      <c r="C40" s="28" t="s">
        <v>203</v>
      </c>
      <c r="D40" s="28" t="s">
        <v>53</v>
      </c>
      <c r="E40" s="28"/>
      <c r="F40" s="28"/>
      <c r="G40" s="52" t="s">
        <v>56</v>
      </c>
      <c r="H40" s="44"/>
      <c r="I40" s="53">
        <v>200.0</v>
      </c>
      <c r="J40" s="28"/>
      <c r="K40" s="28"/>
      <c r="L40" s="28"/>
      <c r="M40" s="28"/>
      <c r="N40" s="28"/>
      <c r="O40" s="28"/>
      <c r="P40" s="28"/>
      <c r="Q40" s="28"/>
      <c r="R40" s="28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55">
        <v>37.0</v>
      </c>
      <c r="B41" s="28" t="s">
        <v>174</v>
      </c>
      <c r="C41" s="28" t="s">
        <v>175</v>
      </c>
      <c r="D41" s="28" t="s">
        <v>160</v>
      </c>
      <c r="E41" s="28"/>
      <c r="F41" s="28"/>
      <c r="G41" s="52" t="s">
        <v>56</v>
      </c>
      <c r="H41" s="44"/>
      <c r="I41" s="53">
        <v>200.0</v>
      </c>
      <c r="J41" s="28"/>
      <c r="K41" s="28"/>
      <c r="L41" s="28"/>
      <c r="M41" s="28"/>
      <c r="N41" s="28"/>
      <c r="O41" s="28"/>
      <c r="P41" s="28"/>
      <c r="Q41" s="28"/>
      <c r="R41" s="28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55">
        <v>38.0</v>
      </c>
      <c r="B42" s="28" t="s">
        <v>205</v>
      </c>
      <c r="C42" s="28" t="s">
        <v>206</v>
      </c>
      <c r="D42" s="28" t="s">
        <v>207</v>
      </c>
      <c r="E42" s="28"/>
      <c r="F42" s="28"/>
      <c r="G42" s="52" t="s">
        <v>56</v>
      </c>
      <c r="H42" s="44"/>
      <c r="I42" s="53">
        <v>200.0</v>
      </c>
      <c r="J42" s="54">
        <v>46215.0</v>
      </c>
      <c r="K42" s="55">
        <v>200.0</v>
      </c>
      <c r="L42" s="28"/>
      <c r="M42" s="28"/>
      <c r="N42" s="28"/>
      <c r="O42" s="28"/>
      <c r="P42" s="28"/>
      <c r="Q42" s="28"/>
      <c r="R42" s="28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55">
        <v>39.0</v>
      </c>
      <c r="B43" s="28" t="s">
        <v>176</v>
      </c>
      <c r="C43" s="28" t="s">
        <v>177</v>
      </c>
      <c r="D43" s="28" t="s">
        <v>178</v>
      </c>
      <c r="E43" s="28"/>
      <c r="F43" s="28"/>
      <c r="G43" s="52" t="s">
        <v>56</v>
      </c>
      <c r="H43" s="44"/>
      <c r="I43" s="53">
        <v>200.0</v>
      </c>
      <c r="J43" s="28"/>
      <c r="K43" s="28"/>
      <c r="L43" s="28"/>
      <c r="M43" s="28"/>
      <c r="N43" s="46"/>
      <c r="O43" s="28"/>
      <c r="P43" s="28"/>
      <c r="Q43" s="28"/>
      <c r="R43" s="28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55">
        <v>40.0</v>
      </c>
      <c r="B44" s="28" t="s">
        <v>179</v>
      </c>
      <c r="C44" s="28" t="s">
        <v>180</v>
      </c>
      <c r="D44" s="28" t="s">
        <v>182</v>
      </c>
      <c r="E44" s="28"/>
      <c r="F44" s="28"/>
      <c r="G44" s="52" t="s">
        <v>56</v>
      </c>
      <c r="H44" s="44"/>
      <c r="I44" s="53">
        <v>200.0</v>
      </c>
      <c r="J44" s="28"/>
      <c r="K44" s="28"/>
      <c r="L44" s="28"/>
      <c r="M44" s="28"/>
      <c r="N44" s="28"/>
      <c r="O44" s="28"/>
      <c r="P44" s="28"/>
      <c r="Q44" s="28"/>
      <c r="R44" s="28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55">
        <v>41.0</v>
      </c>
      <c r="B45" s="28" t="s">
        <v>208</v>
      </c>
      <c r="C45" s="28" t="s">
        <v>119</v>
      </c>
      <c r="D45" s="28" t="s">
        <v>178</v>
      </c>
      <c r="E45" s="28"/>
      <c r="F45" s="28"/>
      <c r="G45" s="52" t="s">
        <v>56</v>
      </c>
      <c r="H45" s="44"/>
      <c r="I45" s="53">
        <v>200.0</v>
      </c>
      <c r="J45" s="28"/>
      <c r="K45" s="28"/>
      <c r="L45" s="28"/>
      <c r="M45" s="28"/>
      <c r="N45" s="28"/>
      <c r="O45" s="28"/>
      <c r="P45" s="28"/>
      <c r="Q45" s="28"/>
      <c r="R45" s="28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55">
        <v>42.0</v>
      </c>
      <c r="B46" s="28" t="s">
        <v>184</v>
      </c>
      <c r="C46" s="28" t="s">
        <v>185</v>
      </c>
      <c r="D46" s="28" t="s">
        <v>186</v>
      </c>
      <c r="E46" s="28"/>
      <c r="F46" s="28"/>
      <c r="G46" s="52" t="s">
        <v>56</v>
      </c>
      <c r="H46" s="44"/>
      <c r="I46" s="53">
        <v>200.0</v>
      </c>
      <c r="J46" s="28"/>
      <c r="K46" s="28"/>
      <c r="L46" s="28"/>
      <c r="M46" s="28"/>
      <c r="N46" s="28"/>
      <c r="O46" s="28"/>
      <c r="P46" s="28"/>
      <c r="Q46" s="28"/>
      <c r="R46" s="28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55">
        <v>43.0</v>
      </c>
      <c r="B47" s="28" t="s">
        <v>143</v>
      </c>
      <c r="C47" s="28" t="s">
        <v>144</v>
      </c>
      <c r="D47" s="28"/>
      <c r="E47" s="28"/>
      <c r="F47" s="28"/>
      <c r="G47" s="52" t="s">
        <v>56</v>
      </c>
      <c r="H47" s="44"/>
      <c r="I47" s="53">
        <v>200.0</v>
      </c>
      <c r="J47" s="28"/>
      <c r="K47" s="28"/>
      <c r="L47" s="28"/>
      <c r="M47" s="28"/>
      <c r="N47" s="28"/>
      <c r="O47" s="28"/>
      <c r="P47" s="28"/>
      <c r="Q47" s="28"/>
      <c r="R47" s="28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55">
        <v>44.0</v>
      </c>
      <c r="B48" s="28" t="s">
        <v>209</v>
      </c>
      <c r="C48" s="28" t="s">
        <v>211</v>
      </c>
      <c r="D48" s="28" t="s">
        <v>160</v>
      </c>
      <c r="E48" s="28"/>
      <c r="F48" s="28"/>
      <c r="G48" s="52" t="s">
        <v>56</v>
      </c>
      <c r="H48" s="44"/>
      <c r="I48" s="53">
        <v>200.0</v>
      </c>
      <c r="J48" s="28"/>
      <c r="K48" s="28"/>
      <c r="L48" s="28"/>
      <c r="M48" s="28"/>
      <c r="N48" s="28"/>
      <c r="O48" s="28"/>
      <c r="P48" s="28"/>
      <c r="Q48" s="28"/>
      <c r="R48" s="28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55">
        <v>45.0</v>
      </c>
      <c r="B49" s="28" t="s">
        <v>187</v>
      </c>
      <c r="C49" s="28" t="s">
        <v>188</v>
      </c>
      <c r="D49" s="28" t="s">
        <v>189</v>
      </c>
      <c r="E49" s="28"/>
      <c r="F49" s="28"/>
      <c r="G49" s="52" t="s">
        <v>56</v>
      </c>
      <c r="H49" s="44"/>
      <c r="I49" s="53">
        <v>200.0</v>
      </c>
      <c r="J49" s="28"/>
      <c r="K49" s="28"/>
      <c r="L49" s="28"/>
      <c r="M49" s="28"/>
      <c r="N49" s="28"/>
      <c r="O49" s="28"/>
      <c r="P49" s="28"/>
      <c r="Q49" s="28"/>
      <c r="R49" s="28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55">
        <v>46.0</v>
      </c>
      <c r="B50" s="28" t="s">
        <v>190</v>
      </c>
      <c r="C50" s="28" t="s">
        <v>191</v>
      </c>
      <c r="D50" s="28" t="s">
        <v>192</v>
      </c>
      <c r="E50" s="28"/>
      <c r="F50" s="28"/>
      <c r="G50" s="52" t="s">
        <v>56</v>
      </c>
      <c r="H50" s="44"/>
      <c r="I50" s="53">
        <v>200.0</v>
      </c>
      <c r="J50" s="28"/>
      <c r="K50" s="28"/>
      <c r="L50" s="28"/>
      <c r="M50" s="28"/>
      <c r="N50" s="28"/>
      <c r="O50" s="28"/>
      <c r="P50" s="28"/>
      <c r="Q50" s="28"/>
      <c r="R50" s="28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67"/>
      <c r="I51" s="67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67"/>
      <c r="I52" s="67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67"/>
      <c r="I53" s="67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29"/>
      <c r="D54" s="29"/>
      <c r="E54" s="29"/>
      <c r="F54" s="29"/>
      <c r="G54" s="29"/>
      <c r="H54" s="67"/>
      <c r="I54" s="67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29"/>
      <c r="D55" s="29"/>
      <c r="E55" s="29"/>
      <c r="F55" s="29"/>
      <c r="G55" s="29"/>
      <c r="H55" s="67"/>
      <c r="I55" s="67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67"/>
      <c r="I56" s="67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67"/>
      <c r="I57" s="67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67"/>
      <c r="I58" s="67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29"/>
      <c r="D59" s="29"/>
      <c r="E59" s="29"/>
      <c r="F59" s="29"/>
      <c r="G59" s="29"/>
      <c r="H59" s="67"/>
      <c r="I59" s="67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67"/>
      <c r="I60" s="67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67"/>
      <c r="I61" s="67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67"/>
      <c r="I62" s="67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29"/>
      <c r="D63" s="29"/>
      <c r="E63" s="29"/>
      <c r="F63" s="29"/>
      <c r="G63" s="29"/>
      <c r="H63" s="67"/>
      <c r="I63" s="67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29"/>
      <c r="D64" s="29"/>
      <c r="E64" s="29"/>
      <c r="F64" s="29"/>
      <c r="G64" s="29"/>
      <c r="H64" s="67"/>
      <c r="I64" s="67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67"/>
      <c r="I65" s="67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67"/>
      <c r="I66" s="67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67"/>
      <c r="I67" s="67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29"/>
      <c r="D68" s="29"/>
      <c r="E68" s="29"/>
      <c r="F68" s="29"/>
      <c r="G68" s="29"/>
      <c r="H68" s="67"/>
      <c r="I68" s="67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67"/>
      <c r="I69" s="67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67"/>
      <c r="I70" s="67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67"/>
      <c r="I71" s="6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29"/>
      <c r="D72" s="29"/>
      <c r="E72" s="29"/>
      <c r="F72" s="29"/>
      <c r="G72" s="29"/>
      <c r="H72" s="67"/>
      <c r="I72" s="6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29"/>
      <c r="D73" s="29"/>
      <c r="E73" s="29"/>
      <c r="F73" s="29"/>
      <c r="G73" s="29"/>
      <c r="H73" s="67"/>
      <c r="I73" s="6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67"/>
      <c r="I74" s="6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67"/>
      <c r="I75" s="6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67"/>
      <c r="I76" s="6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29"/>
      <c r="D77" s="29"/>
      <c r="E77" s="29"/>
      <c r="F77" s="29"/>
      <c r="G77" s="29"/>
      <c r="H77" s="67"/>
      <c r="I77" s="6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67"/>
      <c r="I78" s="6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67"/>
      <c r="I79" s="6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67"/>
      <c r="I80" s="67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29"/>
      <c r="D81" s="29"/>
      <c r="E81" s="29"/>
      <c r="F81" s="29"/>
      <c r="G81" s="29"/>
      <c r="H81" s="67"/>
      <c r="I81" s="67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29"/>
      <c r="D82" s="29"/>
      <c r="E82" s="29"/>
      <c r="F82" s="29"/>
      <c r="G82" s="29"/>
      <c r="H82" s="67"/>
      <c r="I82" s="67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67"/>
      <c r="I83" s="67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67"/>
      <c r="I84" s="67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67"/>
      <c r="I85" s="67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29"/>
      <c r="D86" s="29"/>
      <c r="E86" s="29"/>
      <c r="F86" s="29"/>
      <c r="G86" s="29"/>
      <c r="H86" s="67"/>
      <c r="I86" s="67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67"/>
      <c r="I87" s="67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67"/>
      <c r="I88" s="67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67"/>
      <c r="I89" s="67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29"/>
      <c r="D90" s="29"/>
      <c r="E90" s="29"/>
      <c r="F90" s="29"/>
      <c r="G90" s="29"/>
      <c r="H90" s="67"/>
      <c r="I90" s="67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67"/>
      <c r="I91" s="67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67"/>
      <c r="I92" s="67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67"/>
      <c r="I93" s="67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67"/>
      <c r="I94" s="67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67"/>
      <c r="I95" s="67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67"/>
      <c r="I96" s="67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67"/>
      <c r="I97" s="67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67"/>
      <c r="I98" s="67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67"/>
      <c r="I99" s="67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67"/>
      <c r="I100" s="67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67"/>
      <c r="I101" s="67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67"/>
      <c r="I102" s="67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67"/>
      <c r="I103" s="67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67"/>
      <c r="I104" s="67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67"/>
      <c r="I105" s="67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67"/>
      <c r="I106" s="67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67"/>
      <c r="I107" s="67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67"/>
      <c r="I108" s="67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67"/>
      <c r="I109" s="67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67"/>
      <c r="I110" s="67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67"/>
      <c r="I111" s="67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67"/>
      <c r="I112" s="67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67"/>
      <c r="I113" s="67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67"/>
      <c r="I114" s="67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67"/>
      <c r="I115" s="67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67"/>
      <c r="I116" s="67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67"/>
      <c r="I117" s="67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67"/>
      <c r="I118" s="67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67"/>
      <c r="I119" s="67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67"/>
      <c r="I120" s="67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67"/>
      <c r="I121" s="67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67"/>
      <c r="I122" s="67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67"/>
      <c r="I123" s="67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67"/>
      <c r="I124" s="67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67"/>
      <c r="I125" s="67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67"/>
      <c r="I126" s="67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67"/>
      <c r="I127" s="67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67"/>
      <c r="I128" s="67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67"/>
      <c r="I129" s="67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67"/>
      <c r="I130" s="67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67"/>
      <c r="I131" s="67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67"/>
      <c r="I132" s="67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67"/>
      <c r="I133" s="67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67"/>
      <c r="I134" s="67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67"/>
      <c r="I135" s="67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67"/>
      <c r="I136" s="67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67"/>
      <c r="I137" s="67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67"/>
      <c r="I138" s="67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67"/>
      <c r="I139" s="67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67"/>
      <c r="I140" s="67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67"/>
      <c r="I141" s="67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67"/>
      <c r="I142" s="67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67"/>
      <c r="I143" s="67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67"/>
      <c r="I144" s="67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67"/>
      <c r="I145" s="67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67"/>
      <c r="I146" s="67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67"/>
      <c r="I147" s="67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67"/>
      <c r="I148" s="67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67"/>
      <c r="I149" s="67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67"/>
      <c r="I150" s="67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67"/>
      <c r="I151" s="67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67"/>
      <c r="I152" s="67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67"/>
      <c r="I153" s="67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67"/>
      <c r="I154" s="67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67"/>
      <c r="I155" s="67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67"/>
      <c r="I156" s="67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67"/>
      <c r="I157" s="67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67"/>
      <c r="I158" s="67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67"/>
      <c r="I159" s="67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67"/>
      <c r="I160" s="67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67"/>
      <c r="I161" s="67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67"/>
      <c r="I162" s="67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67"/>
      <c r="I163" s="67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67"/>
      <c r="I164" s="67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67"/>
      <c r="I165" s="67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67"/>
      <c r="I166" s="6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67"/>
      <c r="I167" s="67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67"/>
      <c r="I168" s="6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67"/>
      <c r="I169" s="67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67"/>
      <c r="I170" s="67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67"/>
      <c r="I171" s="67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67"/>
      <c r="I172" s="67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67"/>
      <c r="I173" s="67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67"/>
      <c r="I174" s="67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67"/>
      <c r="I175" s="67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67"/>
      <c r="I176" s="67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67"/>
      <c r="I177" s="67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67"/>
      <c r="I178" s="67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67"/>
      <c r="I179" s="67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67"/>
      <c r="I180" s="6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67"/>
      <c r="I181" s="67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67"/>
      <c r="I182" s="67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67"/>
      <c r="I183" s="67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67"/>
      <c r="I184" s="67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67"/>
      <c r="I185" s="67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67"/>
      <c r="I186" s="67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67"/>
      <c r="I187" s="67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67"/>
      <c r="I188" s="67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67"/>
      <c r="I189" s="67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67"/>
      <c r="I190" s="67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67"/>
      <c r="I191" s="67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67"/>
      <c r="I192" s="67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67"/>
      <c r="I193" s="67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67"/>
      <c r="I194" s="6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67"/>
      <c r="I195" s="67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67"/>
      <c r="I196" s="67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67"/>
      <c r="I197" s="67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67"/>
      <c r="I198" s="67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67"/>
      <c r="I199" s="67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67"/>
      <c r="I200" s="67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67"/>
      <c r="I201" s="67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67"/>
      <c r="I202" s="67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67"/>
      <c r="I203" s="67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67"/>
      <c r="I204" s="67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67"/>
      <c r="I205" s="67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67"/>
      <c r="I206" s="67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67"/>
      <c r="I207" s="67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67"/>
      <c r="I208" s="67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67"/>
      <c r="I209" s="67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67"/>
      <c r="I210" s="67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67"/>
      <c r="I211" s="67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67"/>
      <c r="I212" s="67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67"/>
      <c r="I213" s="67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67"/>
      <c r="I214" s="67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67"/>
      <c r="I215" s="67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67"/>
      <c r="I216" s="67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67"/>
      <c r="I217" s="67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67"/>
      <c r="I218" s="67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67"/>
      <c r="I219" s="67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67"/>
      <c r="I220" s="67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67"/>
      <c r="I221" s="67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67"/>
      <c r="I222" s="67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67"/>
      <c r="I223" s="67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67"/>
      <c r="I224" s="67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67"/>
      <c r="I225" s="67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67"/>
      <c r="I226" s="67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67"/>
      <c r="I227" s="67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67"/>
      <c r="I228" s="67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67"/>
      <c r="I229" s="67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67"/>
      <c r="I230" s="67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67"/>
      <c r="I231" s="67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67"/>
      <c r="I232" s="67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67"/>
      <c r="I233" s="67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67"/>
      <c r="I234" s="67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67"/>
      <c r="I235" s="67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67"/>
      <c r="I236" s="67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67"/>
      <c r="I237" s="67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67"/>
      <c r="I238" s="67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67"/>
      <c r="I239" s="67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67"/>
      <c r="I240" s="67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67"/>
      <c r="I241" s="67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67"/>
      <c r="I242" s="67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67"/>
      <c r="I243" s="67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67"/>
      <c r="I244" s="67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67"/>
      <c r="I245" s="67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67"/>
      <c r="I246" s="67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67"/>
      <c r="I247" s="67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67"/>
      <c r="I248" s="67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67"/>
      <c r="I249" s="67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67"/>
      <c r="I250" s="67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67"/>
      <c r="I251" s="67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67"/>
      <c r="I252" s="67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67"/>
      <c r="I253" s="67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67"/>
      <c r="I254" s="67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67"/>
      <c r="I255" s="67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67"/>
      <c r="I256" s="67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67"/>
      <c r="I257" s="67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67"/>
      <c r="I258" s="67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67"/>
      <c r="I259" s="67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67"/>
      <c r="I260" s="67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67"/>
      <c r="I261" s="67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67"/>
      <c r="I262" s="67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67"/>
      <c r="I263" s="67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67"/>
      <c r="I264" s="67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67"/>
      <c r="I265" s="67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67"/>
      <c r="I266" s="67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67"/>
      <c r="I267" s="67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67"/>
      <c r="I268" s="67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67"/>
      <c r="I269" s="67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67"/>
      <c r="I270" s="67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67"/>
      <c r="I271" s="67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67"/>
      <c r="I272" s="67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67"/>
      <c r="I273" s="67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67"/>
      <c r="I274" s="6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67"/>
      <c r="I275" s="6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67"/>
      <c r="I276" s="67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67"/>
      <c r="I277" s="67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67"/>
      <c r="I278" s="67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67"/>
      <c r="I279" s="67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67"/>
      <c r="I280" s="67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67"/>
      <c r="I281" s="67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67"/>
      <c r="I282" s="67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67"/>
      <c r="I283" s="67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67"/>
      <c r="I284" s="67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67"/>
      <c r="I285" s="67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67"/>
      <c r="I286" s="67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67"/>
      <c r="I287" s="67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67"/>
      <c r="I288" s="67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67"/>
      <c r="I289" s="67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67"/>
      <c r="I290" s="67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67"/>
      <c r="I291" s="67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67"/>
      <c r="I292" s="67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67"/>
      <c r="I293" s="67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67"/>
      <c r="I294" s="67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67"/>
      <c r="I295" s="67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67"/>
      <c r="I296" s="67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67"/>
      <c r="I297" s="67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67"/>
      <c r="I298" s="67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67"/>
      <c r="I299" s="67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67"/>
      <c r="I300" s="67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67"/>
      <c r="I301" s="67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67"/>
      <c r="I302" s="67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67"/>
      <c r="I303" s="67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67"/>
      <c r="I304" s="67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67"/>
      <c r="I305" s="67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67"/>
      <c r="I306" s="67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67"/>
      <c r="I307" s="67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67"/>
      <c r="I308" s="67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67"/>
      <c r="I309" s="67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67"/>
      <c r="I310" s="67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67"/>
      <c r="I311" s="67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67"/>
      <c r="I312" s="67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67"/>
      <c r="I313" s="67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67"/>
      <c r="I314" s="67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67"/>
      <c r="I315" s="67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67"/>
      <c r="I316" s="67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67"/>
      <c r="I317" s="67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67"/>
      <c r="I318" s="67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67"/>
      <c r="I319" s="67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67"/>
      <c r="I320" s="67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67"/>
      <c r="I321" s="67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67"/>
      <c r="I322" s="67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67"/>
      <c r="I323" s="67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67"/>
      <c r="I324" s="67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67"/>
      <c r="I325" s="67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67"/>
      <c r="I326" s="67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67"/>
      <c r="I327" s="67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67"/>
      <c r="I328" s="67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67"/>
      <c r="I329" s="67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67"/>
      <c r="I330" s="67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67"/>
      <c r="I331" s="6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67"/>
      <c r="I332" s="6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67"/>
      <c r="I333" s="6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67"/>
      <c r="I334" s="6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67"/>
      <c r="I335" s="6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67"/>
      <c r="I336" s="6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67"/>
      <c r="I337" s="6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67"/>
      <c r="I338" s="6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67"/>
      <c r="I339" s="6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67"/>
      <c r="I340" s="6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67"/>
      <c r="I341" s="6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67"/>
      <c r="I342" s="6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67"/>
      <c r="I343" s="6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67"/>
      <c r="I344" s="6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67"/>
      <c r="I345" s="6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67"/>
      <c r="I346" s="6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67"/>
      <c r="I347" s="6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67"/>
      <c r="I348" s="6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67"/>
      <c r="I349" s="6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67"/>
      <c r="I350" s="6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67"/>
      <c r="I351" s="6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67"/>
      <c r="I352" s="6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67"/>
      <c r="I353" s="6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67"/>
      <c r="I354" s="6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67"/>
      <c r="I355" s="6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67"/>
      <c r="I356" s="6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67"/>
      <c r="I357" s="6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67"/>
      <c r="I358" s="6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67"/>
      <c r="I359" s="6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67"/>
      <c r="I360" s="6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67"/>
      <c r="I361" s="6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67"/>
      <c r="I362" s="6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67"/>
      <c r="I363" s="6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67"/>
      <c r="I364" s="6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67"/>
      <c r="I365" s="6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67"/>
      <c r="I366" s="6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67"/>
      <c r="I367" s="6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67"/>
      <c r="I368" s="6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67"/>
      <c r="I369" s="6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67"/>
      <c r="I370" s="6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67"/>
      <c r="I371" s="6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67"/>
      <c r="I372" s="6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67"/>
      <c r="I373" s="6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67"/>
      <c r="I374" s="6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67"/>
      <c r="I375" s="6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67"/>
      <c r="I376" s="6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67"/>
      <c r="I377" s="6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67"/>
      <c r="I378" s="6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67"/>
      <c r="I379" s="6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67"/>
      <c r="I380" s="6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67"/>
      <c r="I381" s="6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67"/>
      <c r="I382" s="6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67"/>
      <c r="I383" s="6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67"/>
      <c r="I384" s="6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67"/>
      <c r="I385" s="6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67"/>
      <c r="I386" s="6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67"/>
      <c r="I387" s="6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67"/>
      <c r="I388" s="6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67"/>
      <c r="I389" s="6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67"/>
      <c r="I390" s="6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67"/>
      <c r="I391" s="6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67"/>
      <c r="I392" s="6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67"/>
      <c r="I393" s="6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67"/>
      <c r="I394" s="6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67"/>
      <c r="I395" s="6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67"/>
      <c r="I396" s="6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67"/>
      <c r="I397" s="6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67"/>
      <c r="I398" s="6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67"/>
      <c r="I399" s="6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67"/>
      <c r="I400" s="6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67"/>
      <c r="I401" s="6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67"/>
      <c r="I402" s="6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67"/>
      <c r="I403" s="6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67"/>
      <c r="I404" s="6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67"/>
      <c r="I405" s="6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67"/>
      <c r="I406" s="6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67"/>
      <c r="I407" s="6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67"/>
      <c r="I408" s="6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67"/>
      <c r="I409" s="6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67"/>
      <c r="I410" s="6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67"/>
      <c r="I411" s="6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67"/>
      <c r="I412" s="6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67"/>
      <c r="I413" s="6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67"/>
      <c r="I414" s="6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67"/>
      <c r="I415" s="6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67"/>
      <c r="I416" s="6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67"/>
      <c r="I417" s="6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67"/>
      <c r="I418" s="6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67"/>
      <c r="I419" s="6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67"/>
      <c r="I420" s="6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67"/>
      <c r="I421" s="6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67"/>
      <c r="I422" s="6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67"/>
      <c r="I423" s="6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67"/>
      <c r="I424" s="6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67"/>
      <c r="I425" s="6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67"/>
      <c r="I426" s="6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67"/>
      <c r="I427" s="6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67"/>
      <c r="I428" s="6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67"/>
      <c r="I429" s="6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67"/>
      <c r="I430" s="6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67"/>
      <c r="I431" s="6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67"/>
      <c r="I432" s="6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67"/>
      <c r="I433" s="6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67"/>
      <c r="I434" s="6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67"/>
      <c r="I435" s="6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67"/>
      <c r="I436" s="6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67"/>
      <c r="I437" s="6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67"/>
      <c r="I438" s="6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67"/>
      <c r="I439" s="6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67"/>
      <c r="I440" s="6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67"/>
      <c r="I441" s="6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67"/>
      <c r="I442" s="6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67"/>
      <c r="I443" s="6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67"/>
      <c r="I444" s="6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67"/>
      <c r="I445" s="6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67"/>
      <c r="I446" s="6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67"/>
      <c r="I447" s="6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67"/>
      <c r="I448" s="6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67"/>
      <c r="I449" s="6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67"/>
      <c r="I450" s="6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67"/>
      <c r="I451" s="6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67"/>
      <c r="I452" s="6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67"/>
      <c r="I453" s="6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67"/>
      <c r="I454" s="6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67"/>
      <c r="I455" s="6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67"/>
      <c r="I456" s="6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67"/>
      <c r="I457" s="6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67"/>
      <c r="I458" s="6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67"/>
      <c r="I459" s="6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67"/>
      <c r="I460" s="6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67"/>
      <c r="I461" s="6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67"/>
      <c r="I462" s="6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67"/>
      <c r="I463" s="6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67"/>
      <c r="I464" s="6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67"/>
      <c r="I465" s="6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67"/>
      <c r="I466" s="6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67"/>
      <c r="I467" s="6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67"/>
      <c r="I468" s="6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67"/>
      <c r="I469" s="6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67"/>
      <c r="I470" s="6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67"/>
      <c r="I471" s="6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67"/>
      <c r="I472" s="6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67"/>
      <c r="I473" s="6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67"/>
      <c r="I474" s="6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67"/>
      <c r="I475" s="6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67"/>
      <c r="I476" s="6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67"/>
      <c r="I477" s="6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67"/>
      <c r="I478" s="6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67"/>
      <c r="I479" s="6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67"/>
      <c r="I480" s="6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67"/>
      <c r="I481" s="6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67"/>
      <c r="I482" s="6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67"/>
      <c r="I483" s="6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67"/>
      <c r="I484" s="6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67"/>
      <c r="I485" s="6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67"/>
      <c r="I486" s="6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67"/>
      <c r="I487" s="6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67"/>
      <c r="I488" s="6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67"/>
      <c r="I489" s="6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67"/>
      <c r="I490" s="6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67"/>
      <c r="I491" s="6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67"/>
      <c r="I492" s="6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67"/>
      <c r="I493" s="6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67"/>
      <c r="I494" s="6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67"/>
      <c r="I495" s="6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67"/>
      <c r="I496" s="6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67"/>
      <c r="I497" s="6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67"/>
      <c r="I498" s="6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67"/>
      <c r="I499" s="6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67"/>
      <c r="I500" s="6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67"/>
      <c r="I501" s="6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67"/>
      <c r="I502" s="6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67"/>
      <c r="I503" s="6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67"/>
      <c r="I504" s="6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67"/>
      <c r="I505" s="6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67"/>
      <c r="I506" s="6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67"/>
      <c r="I507" s="6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67"/>
      <c r="I508" s="6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67"/>
      <c r="I509" s="6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67"/>
      <c r="I510" s="6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67"/>
      <c r="I511" s="6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67"/>
      <c r="I512" s="6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67"/>
      <c r="I513" s="6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67"/>
      <c r="I514" s="6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67"/>
      <c r="I515" s="6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67"/>
      <c r="I516" s="6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67"/>
      <c r="I517" s="6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67"/>
      <c r="I518" s="6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67"/>
      <c r="I519" s="6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67"/>
      <c r="I520" s="6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67"/>
      <c r="I521" s="6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67"/>
      <c r="I522" s="6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67"/>
      <c r="I523" s="6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67"/>
      <c r="I524" s="6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67"/>
      <c r="I525" s="6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67"/>
      <c r="I526" s="6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67"/>
      <c r="I527" s="6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67"/>
      <c r="I528" s="6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67"/>
      <c r="I529" s="6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67"/>
      <c r="I530" s="6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67"/>
      <c r="I531" s="6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67"/>
      <c r="I532" s="6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67"/>
      <c r="I533" s="6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67"/>
      <c r="I534" s="6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67"/>
      <c r="I535" s="6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67"/>
      <c r="I536" s="6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67"/>
      <c r="I537" s="6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67"/>
      <c r="I538" s="6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67"/>
      <c r="I539" s="6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67"/>
      <c r="I540" s="6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67"/>
      <c r="I541" s="6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67"/>
      <c r="I542" s="6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67"/>
      <c r="I543" s="6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67"/>
      <c r="I544" s="6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67"/>
      <c r="I545" s="6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67"/>
      <c r="I546" s="6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67"/>
      <c r="I547" s="6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67"/>
      <c r="I548" s="6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67"/>
      <c r="I549" s="6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67"/>
      <c r="I550" s="6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67"/>
      <c r="I551" s="6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67"/>
      <c r="I552" s="6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67"/>
      <c r="I553" s="6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67"/>
      <c r="I554" s="6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67"/>
      <c r="I555" s="6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67"/>
      <c r="I556" s="6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67"/>
      <c r="I557" s="6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67"/>
      <c r="I558" s="6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67"/>
      <c r="I559" s="6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67"/>
      <c r="I560" s="6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67"/>
      <c r="I561" s="6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67"/>
      <c r="I562" s="6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67"/>
      <c r="I563" s="6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67"/>
      <c r="I564" s="6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67"/>
      <c r="I565" s="6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67"/>
      <c r="I566" s="6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67"/>
      <c r="I567" s="6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67"/>
      <c r="I568" s="6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67"/>
      <c r="I569" s="6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67"/>
      <c r="I570" s="6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67"/>
      <c r="I571" s="6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67"/>
      <c r="I572" s="6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67"/>
      <c r="I573" s="6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67"/>
      <c r="I574" s="6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67"/>
      <c r="I575" s="6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67"/>
      <c r="I576" s="6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67"/>
      <c r="I577" s="6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67"/>
      <c r="I578" s="6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67"/>
      <c r="I579" s="6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67"/>
      <c r="I580" s="6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67"/>
      <c r="I581" s="6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67"/>
      <c r="I582" s="6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67"/>
      <c r="I583" s="6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67"/>
      <c r="I584" s="6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67"/>
      <c r="I585" s="6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67"/>
      <c r="I586" s="6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67"/>
      <c r="I587" s="6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67"/>
      <c r="I588" s="6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67"/>
      <c r="I589" s="6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67"/>
      <c r="I590" s="6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67"/>
      <c r="I591" s="6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67"/>
      <c r="I592" s="6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67"/>
      <c r="I593" s="6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67"/>
      <c r="I594" s="6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67"/>
      <c r="I595" s="6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67"/>
      <c r="I596" s="6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67"/>
      <c r="I597" s="6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67"/>
      <c r="I598" s="6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67"/>
      <c r="I599" s="6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67"/>
      <c r="I600" s="6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67"/>
      <c r="I601" s="6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67"/>
      <c r="I602" s="6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67"/>
      <c r="I603" s="6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67"/>
      <c r="I604" s="6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67"/>
      <c r="I605" s="6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67"/>
      <c r="I606" s="6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67"/>
      <c r="I607" s="6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67"/>
      <c r="I608" s="6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67"/>
      <c r="I609" s="6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67"/>
      <c r="I610" s="6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67"/>
      <c r="I611" s="6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67"/>
      <c r="I612" s="6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67"/>
      <c r="I613" s="6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67"/>
      <c r="I614" s="6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67"/>
      <c r="I615" s="6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67"/>
      <c r="I616" s="6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67"/>
      <c r="I617" s="6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67"/>
      <c r="I618" s="6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67"/>
      <c r="I619" s="6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67"/>
      <c r="I620" s="6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67"/>
      <c r="I621" s="6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67"/>
      <c r="I622" s="6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67"/>
      <c r="I623" s="6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67"/>
      <c r="I624" s="6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67"/>
      <c r="I625" s="6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67"/>
      <c r="I626" s="6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67"/>
      <c r="I627" s="6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67"/>
      <c r="I628" s="6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67"/>
      <c r="I629" s="6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67"/>
      <c r="I630" s="6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67"/>
      <c r="I631" s="6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67"/>
      <c r="I632" s="6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67"/>
      <c r="I633" s="6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67"/>
      <c r="I634" s="6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67"/>
      <c r="I635" s="6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67"/>
      <c r="I636" s="6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67"/>
      <c r="I637" s="6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67"/>
      <c r="I638" s="6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67"/>
      <c r="I639" s="6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67"/>
      <c r="I640" s="6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67"/>
      <c r="I641" s="6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67"/>
      <c r="I642" s="6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67"/>
      <c r="I643" s="6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67"/>
      <c r="I644" s="6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67"/>
      <c r="I645" s="6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67"/>
      <c r="I646" s="6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67"/>
      <c r="I647" s="6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67"/>
      <c r="I648" s="6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67"/>
      <c r="I649" s="6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67"/>
      <c r="I650" s="6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67"/>
      <c r="I651" s="6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67"/>
      <c r="I652" s="6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67"/>
      <c r="I653" s="6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67"/>
      <c r="I654" s="6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67"/>
      <c r="I655" s="6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67"/>
      <c r="I656" s="6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67"/>
      <c r="I657" s="6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67"/>
      <c r="I658" s="6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67"/>
      <c r="I659" s="6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67"/>
      <c r="I660" s="6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67"/>
      <c r="I661" s="6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67"/>
      <c r="I662" s="6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67"/>
      <c r="I663" s="6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67"/>
      <c r="I664" s="6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67"/>
      <c r="I665" s="6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67"/>
      <c r="I666" s="6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67"/>
      <c r="I667" s="6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67"/>
      <c r="I668" s="6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67"/>
      <c r="I669" s="6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67"/>
      <c r="I670" s="6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67"/>
      <c r="I671" s="6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67"/>
      <c r="I672" s="6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67"/>
      <c r="I673" s="6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67"/>
      <c r="I674" s="6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67"/>
      <c r="I675" s="6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67"/>
      <c r="I676" s="6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67"/>
      <c r="I677" s="6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67"/>
      <c r="I678" s="6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67"/>
      <c r="I679" s="6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67"/>
      <c r="I680" s="6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67"/>
      <c r="I681" s="6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67"/>
      <c r="I682" s="6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67"/>
      <c r="I683" s="6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67"/>
      <c r="I684" s="6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67"/>
      <c r="I685" s="6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67"/>
      <c r="I686" s="6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67"/>
      <c r="I687" s="6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67"/>
      <c r="I688" s="6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67"/>
      <c r="I689" s="6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67"/>
      <c r="I690" s="6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67"/>
      <c r="I691" s="6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67"/>
      <c r="I692" s="6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67"/>
      <c r="I693" s="6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67"/>
      <c r="I694" s="6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67"/>
      <c r="I695" s="6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67"/>
      <c r="I696" s="6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67"/>
      <c r="I697" s="6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67"/>
      <c r="I698" s="6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67"/>
      <c r="I699" s="6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67"/>
      <c r="I700" s="6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67"/>
      <c r="I701" s="6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67"/>
      <c r="I702" s="6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67"/>
      <c r="I703" s="6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67"/>
      <c r="I704" s="6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67"/>
      <c r="I705" s="6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67"/>
      <c r="I706" s="6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67"/>
      <c r="I707" s="6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67"/>
      <c r="I708" s="6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67"/>
      <c r="I709" s="6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67"/>
      <c r="I710" s="6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67"/>
      <c r="I711" s="6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67"/>
      <c r="I712" s="6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67"/>
      <c r="I713" s="6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67"/>
      <c r="I714" s="6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67"/>
      <c r="I715" s="6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67"/>
      <c r="I716" s="6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67"/>
      <c r="I717" s="6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67"/>
      <c r="I718" s="6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67"/>
      <c r="I719" s="6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67"/>
      <c r="I720" s="6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67"/>
      <c r="I721" s="6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67"/>
      <c r="I722" s="6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67"/>
      <c r="I723" s="6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67"/>
      <c r="I724" s="6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67"/>
      <c r="I725" s="6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67"/>
      <c r="I726" s="6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67"/>
      <c r="I727" s="6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67"/>
      <c r="I728" s="6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67"/>
      <c r="I729" s="6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67"/>
      <c r="I730" s="6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67"/>
      <c r="I731" s="6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67"/>
      <c r="I732" s="6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67"/>
      <c r="I733" s="6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67"/>
      <c r="I734" s="6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67"/>
      <c r="I735" s="6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67"/>
      <c r="I736" s="6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67"/>
      <c r="I737" s="6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67"/>
      <c r="I738" s="6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67"/>
      <c r="I739" s="6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67"/>
      <c r="I740" s="6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67"/>
      <c r="I741" s="6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67"/>
      <c r="I742" s="6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67"/>
      <c r="I743" s="6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67"/>
      <c r="I744" s="6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67"/>
      <c r="I745" s="6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67"/>
      <c r="I746" s="6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67"/>
      <c r="I747" s="6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67"/>
      <c r="I748" s="6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67"/>
      <c r="I749" s="6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67"/>
      <c r="I750" s="6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67"/>
      <c r="I751" s="6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67"/>
      <c r="I752" s="6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67"/>
      <c r="I753" s="6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67"/>
      <c r="I754" s="6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67"/>
      <c r="I755" s="6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67"/>
      <c r="I756" s="6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67"/>
      <c r="I757" s="6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67"/>
      <c r="I758" s="6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67"/>
      <c r="I759" s="6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67"/>
      <c r="I760" s="6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67"/>
      <c r="I761" s="6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67"/>
      <c r="I762" s="6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67"/>
      <c r="I763" s="6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67"/>
      <c r="I764" s="6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67"/>
      <c r="I765" s="6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67"/>
      <c r="I766" s="6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67"/>
      <c r="I767" s="6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67"/>
      <c r="I768" s="6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67"/>
      <c r="I769" s="6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67"/>
      <c r="I770" s="6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67"/>
      <c r="I771" s="6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67"/>
      <c r="I772" s="6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67"/>
      <c r="I773" s="6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67"/>
      <c r="I774" s="6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67"/>
      <c r="I775" s="6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67"/>
      <c r="I776" s="6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67"/>
      <c r="I777" s="6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67"/>
      <c r="I778" s="6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67"/>
      <c r="I779" s="6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67"/>
      <c r="I780" s="6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67"/>
      <c r="I781" s="6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67"/>
      <c r="I782" s="6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67"/>
      <c r="I783" s="6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67"/>
      <c r="I784" s="6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67"/>
      <c r="I785" s="6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67"/>
      <c r="I786" s="6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67"/>
      <c r="I787" s="6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67"/>
      <c r="I788" s="6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67"/>
      <c r="I789" s="6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67"/>
      <c r="I790" s="6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67"/>
      <c r="I791" s="6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67"/>
      <c r="I792" s="6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67"/>
      <c r="I793" s="6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67"/>
      <c r="I794" s="6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67"/>
      <c r="I795" s="6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67"/>
      <c r="I796" s="6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67"/>
      <c r="I797" s="6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67"/>
      <c r="I798" s="6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67"/>
      <c r="I799" s="6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67"/>
      <c r="I800" s="6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67"/>
      <c r="I801" s="6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67"/>
      <c r="I802" s="6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67"/>
      <c r="I803" s="6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67"/>
      <c r="I804" s="6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67"/>
      <c r="I805" s="6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67"/>
      <c r="I806" s="6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67"/>
      <c r="I807" s="6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67"/>
      <c r="I808" s="6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67"/>
      <c r="I809" s="6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67"/>
      <c r="I810" s="6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67"/>
      <c r="I811" s="6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67"/>
      <c r="I812" s="6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67"/>
      <c r="I813" s="6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67"/>
      <c r="I814" s="6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67"/>
      <c r="I815" s="6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67"/>
      <c r="I816" s="6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67"/>
      <c r="I817" s="6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67"/>
      <c r="I818" s="6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67"/>
      <c r="I819" s="6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67"/>
      <c r="I820" s="6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67"/>
      <c r="I821" s="6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67"/>
      <c r="I822" s="6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67"/>
      <c r="I823" s="6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67"/>
      <c r="I824" s="6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67"/>
      <c r="I825" s="6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67"/>
      <c r="I826" s="6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67"/>
      <c r="I827" s="6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67"/>
      <c r="I828" s="6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67"/>
      <c r="I829" s="6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67"/>
      <c r="I830" s="6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67"/>
      <c r="I831" s="6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67"/>
      <c r="I832" s="6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67"/>
      <c r="I833" s="6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67"/>
      <c r="I834" s="6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67"/>
      <c r="I835" s="6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67"/>
      <c r="I836" s="6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67"/>
      <c r="I837" s="6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67"/>
      <c r="I838" s="6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67"/>
      <c r="I839" s="6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67"/>
      <c r="I840" s="6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67"/>
      <c r="I841" s="6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67"/>
      <c r="I842" s="6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67"/>
      <c r="I843" s="6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67"/>
      <c r="I844" s="6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67"/>
      <c r="I845" s="6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67"/>
      <c r="I846" s="6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67"/>
      <c r="I847" s="6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67"/>
      <c r="I848" s="6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67"/>
      <c r="I849" s="6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67"/>
      <c r="I850" s="6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67"/>
      <c r="I851" s="6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67"/>
      <c r="I852" s="6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67"/>
      <c r="I853" s="6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67"/>
      <c r="I854" s="6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67"/>
      <c r="I855" s="6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67"/>
      <c r="I856" s="6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67"/>
      <c r="I857" s="6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67"/>
      <c r="I858" s="6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67"/>
      <c r="I859" s="6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67"/>
      <c r="I860" s="6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67"/>
      <c r="I861" s="6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67"/>
      <c r="I862" s="6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67"/>
      <c r="I863" s="6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67"/>
      <c r="I864" s="6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67"/>
      <c r="I865" s="6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67"/>
      <c r="I866" s="6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67"/>
      <c r="I867" s="6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67"/>
      <c r="I868" s="6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67"/>
      <c r="I869" s="6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67"/>
      <c r="I870" s="6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67"/>
      <c r="I871" s="6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67"/>
      <c r="I872" s="6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67"/>
      <c r="I873" s="6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67"/>
      <c r="I874" s="6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67"/>
      <c r="I875" s="6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67"/>
      <c r="I876" s="6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67"/>
      <c r="I877" s="6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67"/>
      <c r="I878" s="6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67"/>
      <c r="I879" s="6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67"/>
      <c r="I880" s="6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67"/>
      <c r="I881" s="6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67"/>
      <c r="I882" s="6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67"/>
      <c r="I883" s="6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67"/>
      <c r="I884" s="6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67"/>
      <c r="I885" s="6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67"/>
      <c r="I886" s="6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67"/>
      <c r="I887" s="6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67"/>
      <c r="I888" s="6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67"/>
      <c r="I889" s="6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67"/>
      <c r="I890" s="6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67"/>
      <c r="I891" s="6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67"/>
      <c r="I892" s="6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67"/>
      <c r="I893" s="6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67"/>
      <c r="I894" s="6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67"/>
      <c r="I895" s="6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67"/>
      <c r="I896" s="6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67"/>
      <c r="I897" s="6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67"/>
      <c r="I898" s="6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67"/>
      <c r="I899" s="6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9"/>
      <c r="B900" s="29"/>
      <c r="C900" s="29"/>
      <c r="D900" s="29"/>
      <c r="E900" s="29"/>
      <c r="F900" s="29"/>
      <c r="G900" s="29"/>
      <c r="H900" s="67"/>
      <c r="I900" s="6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9"/>
      <c r="B901" s="29"/>
      <c r="C901" s="29"/>
      <c r="D901" s="29"/>
      <c r="E901" s="29"/>
      <c r="F901" s="29"/>
      <c r="G901" s="29"/>
      <c r="H901" s="67"/>
      <c r="I901" s="6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9"/>
      <c r="B902" s="29"/>
      <c r="C902" s="29"/>
      <c r="D902" s="29"/>
      <c r="E902" s="29"/>
      <c r="F902" s="29"/>
      <c r="G902" s="29"/>
      <c r="H902" s="67"/>
      <c r="I902" s="6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9"/>
      <c r="B903" s="29"/>
      <c r="C903" s="29"/>
      <c r="D903" s="29"/>
      <c r="E903" s="29"/>
      <c r="F903" s="29"/>
      <c r="G903" s="29"/>
      <c r="H903" s="67"/>
      <c r="I903" s="6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9"/>
      <c r="B904" s="29"/>
      <c r="C904" s="29"/>
      <c r="D904" s="29"/>
      <c r="E904" s="29"/>
      <c r="F904" s="29"/>
      <c r="G904" s="29"/>
      <c r="H904" s="67"/>
      <c r="I904" s="6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9"/>
      <c r="B905" s="29"/>
      <c r="C905" s="29"/>
      <c r="D905" s="29"/>
      <c r="E905" s="29"/>
      <c r="F905" s="29"/>
      <c r="G905" s="29"/>
      <c r="H905" s="67"/>
      <c r="I905" s="6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9"/>
      <c r="B906" s="29"/>
      <c r="C906" s="29"/>
      <c r="D906" s="29"/>
      <c r="E906" s="29"/>
      <c r="F906" s="29"/>
      <c r="G906" s="29"/>
      <c r="H906" s="67"/>
      <c r="I906" s="6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9"/>
      <c r="B907" s="29"/>
      <c r="C907" s="29"/>
      <c r="D907" s="29"/>
      <c r="E907" s="29"/>
      <c r="F907" s="29"/>
      <c r="G907" s="29"/>
      <c r="H907" s="67"/>
      <c r="I907" s="6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29"/>
      <c r="B908" s="29"/>
      <c r="C908" s="29"/>
      <c r="D908" s="29"/>
      <c r="E908" s="29"/>
      <c r="F908" s="29"/>
      <c r="G908" s="29"/>
      <c r="H908" s="67"/>
      <c r="I908" s="6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9"/>
      <c r="B909" s="29"/>
      <c r="C909" s="29"/>
      <c r="D909" s="29"/>
      <c r="E909" s="29"/>
      <c r="F909" s="29"/>
      <c r="G909" s="29"/>
      <c r="H909" s="67"/>
      <c r="I909" s="6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29"/>
      <c r="B910" s="29"/>
      <c r="C910" s="29"/>
      <c r="D910" s="29"/>
      <c r="E910" s="29"/>
      <c r="F910" s="29"/>
      <c r="G910" s="29"/>
      <c r="H910" s="67"/>
      <c r="I910" s="6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9"/>
      <c r="B911" s="29"/>
      <c r="C911" s="29"/>
      <c r="D911" s="29"/>
      <c r="E911" s="29"/>
      <c r="F911" s="29"/>
      <c r="G911" s="29"/>
      <c r="H911" s="67"/>
      <c r="I911" s="6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>
      <c r="A912" s="29"/>
      <c r="B912" s="29"/>
      <c r="C912" s="29"/>
      <c r="D912" s="29"/>
      <c r="E912" s="29"/>
      <c r="F912" s="29"/>
      <c r="G912" s="29"/>
      <c r="H912" s="67"/>
      <c r="I912" s="6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29"/>
      <c r="B913" s="29"/>
      <c r="C913" s="29"/>
      <c r="D913" s="29"/>
      <c r="E913" s="29"/>
      <c r="F913" s="29"/>
      <c r="G913" s="29"/>
      <c r="H913" s="67"/>
      <c r="I913" s="6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>
      <c r="A914" s="29"/>
      <c r="B914" s="29"/>
      <c r="C914" s="29"/>
      <c r="D914" s="29"/>
      <c r="E914" s="29"/>
      <c r="F914" s="29"/>
      <c r="G914" s="29"/>
      <c r="H914" s="67"/>
      <c r="I914" s="6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29"/>
      <c r="B915" s="29"/>
      <c r="C915" s="29"/>
      <c r="D915" s="29"/>
      <c r="E915" s="29"/>
      <c r="F915" s="29"/>
      <c r="G915" s="29"/>
      <c r="H915" s="67"/>
      <c r="I915" s="6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>
      <c r="A916" s="29"/>
      <c r="B916" s="29"/>
      <c r="C916" s="29"/>
      <c r="D916" s="29"/>
      <c r="E916" s="29"/>
      <c r="F916" s="29"/>
      <c r="G916" s="29"/>
      <c r="H916" s="67"/>
      <c r="I916" s="6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29"/>
      <c r="B917" s="29"/>
      <c r="C917" s="29"/>
      <c r="D917" s="29"/>
      <c r="E917" s="29"/>
      <c r="F917" s="29"/>
      <c r="G917" s="29"/>
      <c r="H917" s="67"/>
      <c r="I917" s="6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>
      <c r="A918" s="29"/>
      <c r="B918" s="29"/>
      <c r="C918" s="29"/>
      <c r="D918" s="29"/>
      <c r="E918" s="29"/>
      <c r="F918" s="29"/>
      <c r="G918" s="29"/>
      <c r="H918" s="67"/>
      <c r="I918" s="6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29"/>
      <c r="B919" s="29"/>
      <c r="C919" s="29"/>
      <c r="D919" s="29"/>
      <c r="E919" s="29"/>
      <c r="F919" s="29"/>
      <c r="G919" s="29"/>
      <c r="H919" s="67"/>
      <c r="I919" s="6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>
      <c r="A920" s="29"/>
      <c r="B920" s="29"/>
      <c r="C920" s="29"/>
      <c r="D920" s="29"/>
      <c r="E920" s="29"/>
      <c r="F920" s="29"/>
      <c r="G920" s="29"/>
      <c r="H920" s="67"/>
      <c r="I920" s="6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29"/>
      <c r="B921" s="29"/>
      <c r="C921" s="29"/>
      <c r="D921" s="29"/>
      <c r="E921" s="29"/>
      <c r="F921" s="29"/>
      <c r="G921" s="29"/>
      <c r="H921" s="67"/>
      <c r="I921" s="6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>
      <c r="A922" s="29"/>
      <c r="B922" s="29"/>
      <c r="C922" s="29"/>
      <c r="D922" s="29"/>
      <c r="E922" s="29"/>
      <c r="F922" s="29"/>
      <c r="G922" s="29"/>
      <c r="H922" s="67"/>
      <c r="I922" s="6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29"/>
      <c r="B923" s="29"/>
      <c r="C923" s="29"/>
      <c r="D923" s="29"/>
      <c r="E923" s="29"/>
      <c r="F923" s="29"/>
      <c r="G923" s="29"/>
      <c r="H923" s="67"/>
      <c r="I923" s="6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>
      <c r="A924" s="29"/>
      <c r="B924" s="29"/>
      <c r="C924" s="29"/>
      <c r="D924" s="29"/>
      <c r="E924" s="29"/>
      <c r="F924" s="29"/>
      <c r="G924" s="29"/>
      <c r="H924" s="67"/>
      <c r="I924" s="6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29"/>
      <c r="B925" s="29"/>
      <c r="C925" s="29"/>
      <c r="D925" s="29"/>
      <c r="E925" s="29"/>
      <c r="F925" s="29"/>
      <c r="G925" s="29"/>
      <c r="H925" s="67"/>
      <c r="I925" s="6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>
      <c r="A926" s="29"/>
      <c r="B926" s="29"/>
      <c r="C926" s="29"/>
      <c r="D926" s="29"/>
      <c r="E926" s="29"/>
      <c r="F926" s="29"/>
      <c r="G926" s="29"/>
      <c r="H926" s="67"/>
      <c r="I926" s="6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29"/>
      <c r="B927" s="29"/>
      <c r="C927" s="29"/>
      <c r="D927" s="29"/>
      <c r="E927" s="29"/>
      <c r="F927" s="29"/>
      <c r="G927" s="29"/>
      <c r="H927" s="67"/>
      <c r="I927" s="6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>
      <c r="A928" s="29"/>
      <c r="B928" s="29"/>
      <c r="C928" s="29"/>
      <c r="D928" s="29"/>
      <c r="E928" s="29"/>
      <c r="F928" s="29"/>
      <c r="G928" s="29"/>
      <c r="H928" s="67"/>
      <c r="I928" s="6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29"/>
      <c r="B929" s="29"/>
      <c r="C929" s="29"/>
      <c r="D929" s="29"/>
      <c r="E929" s="29"/>
      <c r="F929" s="29"/>
      <c r="G929" s="29"/>
      <c r="H929" s="67"/>
      <c r="I929" s="6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>
      <c r="A930" s="29"/>
      <c r="B930" s="29"/>
      <c r="C930" s="29"/>
      <c r="D930" s="29"/>
      <c r="E930" s="29"/>
      <c r="F930" s="29"/>
      <c r="G930" s="29"/>
      <c r="H930" s="67"/>
      <c r="I930" s="6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29"/>
      <c r="B931" s="29"/>
      <c r="C931" s="29"/>
      <c r="D931" s="29"/>
      <c r="E931" s="29"/>
      <c r="F931" s="29"/>
      <c r="G931" s="29"/>
      <c r="H931" s="67"/>
      <c r="I931" s="6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>
      <c r="A932" s="29"/>
      <c r="B932" s="29"/>
      <c r="C932" s="29"/>
      <c r="D932" s="29"/>
      <c r="E932" s="29"/>
      <c r="F932" s="29"/>
      <c r="G932" s="29"/>
      <c r="H932" s="67"/>
      <c r="I932" s="6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29"/>
      <c r="B933" s="29"/>
      <c r="C933" s="29"/>
      <c r="D933" s="29"/>
      <c r="E933" s="29"/>
      <c r="F933" s="29"/>
      <c r="G933" s="29"/>
      <c r="H933" s="67"/>
      <c r="I933" s="6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>
      <c r="A934" s="29"/>
      <c r="B934" s="29"/>
      <c r="C934" s="29"/>
      <c r="D934" s="29"/>
      <c r="E934" s="29"/>
      <c r="F934" s="29"/>
      <c r="G934" s="29"/>
      <c r="H934" s="67"/>
      <c r="I934" s="6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29"/>
      <c r="B935" s="29"/>
      <c r="C935" s="29"/>
      <c r="D935" s="29"/>
      <c r="E935" s="29"/>
      <c r="F935" s="29"/>
      <c r="G935" s="29"/>
      <c r="H935" s="67"/>
      <c r="I935" s="6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>
      <c r="A936" s="29"/>
      <c r="B936" s="29"/>
      <c r="C936" s="29"/>
      <c r="D936" s="29"/>
      <c r="E936" s="29"/>
      <c r="F936" s="29"/>
      <c r="G936" s="29"/>
      <c r="H936" s="67"/>
      <c r="I936" s="6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29"/>
      <c r="B937" s="29"/>
      <c r="C937" s="29"/>
      <c r="D937" s="29"/>
      <c r="E937" s="29"/>
      <c r="F937" s="29"/>
      <c r="G937" s="29"/>
      <c r="H937" s="67"/>
      <c r="I937" s="6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>
      <c r="A938" s="29"/>
      <c r="B938" s="29"/>
      <c r="C938" s="29"/>
      <c r="D938" s="29"/>
      <c r="E938" s="29"/>
      <c r="F938" s="29"/>
      <c r="G938" s="29"/>
      <c r="H938" s="67"/>
      <c r="I938" s="6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29"/>
      <c r="B939" s="29"/>
      <c r="C939" s="29"/>
      <c r="D939" s="29"/>
      <c r="E939" s="29"/>
      <c r="F939" s="29"/>
      <c r="G939" s="29"/>
      <c r="H939" s="67"/>
      <c r="I939" s="6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>
      <c r="A940" s="29"/>
      <c r="B940" s="29"/>
      <c r="C940" s="29"/>
      <c r="D940" s="29"/>
      <c r="E940" s="29"/>
      <c r="F940" s="29"/>
      <c r="G940" s="29"/>
      <c r="H940" s="67"/>
      <c r="I940" s="6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29"/>
      <c r="B941" s="29"/>
      <c r="C941" s="29"/>
      <c r="D941" s="29"/>
      <c r="E941" s="29"/>
      <c r="F941" s="29"/>
      <c r="G941" s="29"/>
      <c r="H941" s="67"/>
      <c r="I941" s="6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>
      <c r="A942" s="29"/>
      <c r="B942" s="29"/>
      <c r="C942" s="29"/>
      <c r="D942" s="29"/>
      <c r="E942" s="29"/>
      <c r="F942" s="29"/>
      <c r="G942" s="29"/>
      <c r="H942" s="67"/>
      <c r="I942" s="6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29"/>
      <c r="B943" s="29"/>
      <c r="C943" s="29"/>
      <c r="D943" s="29"/>
      <c r="E943" s="29"/>
      <c r="F943" s="29"/>
      <c r="G943" s="29"/>
      <c r="H943" s="67"/>
      <c r="I943" s="6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>
      <c r="A944" s="29"/>
      <c r="B944" s="29"/>
      <c r="C944" s="29"/>
      <c r="D944" s="29"/>
      <c r="E944" s="29"/>
      <c r="F944" s="29"/>
      <c r="G944" s="29"/>
      <c r="H944" s="67"/>
      <c r="I944" s="6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29"/>
      <c r="B945" s="29"/>
      <c r="C945" s="29"/>
      <c r="D945" s="29"/>
      <c r="E945" s="29"/>
      <c r="F945" s="29"/>
      <c r="G945" s="29"/>
      <c r="H945" s="67"/>
      <c r="I945" s="6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>
      <c r="A946" s="29"/>
      <c r="B946" s="29"/>
      <c r="C946" s="29"/>
      <c r="D946" s="29"/>
      <c r="E946" s="29"/>
      <c r="F946" s="29"/>
      <c r="G946" s="29"/>
      <c r="H946" s="67"/>
      <c r="I946" s="6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29"/>
      <c r="B947" s="29"/>
      <c r="C947" s="29"/>
      <c r="D947" s="29"/>
      <c r="E947" s="29"/>
      <c r="F947" s="29"/>
      <c r="G947" s="29"/>
      <c r="H947" s="67"/>
      <c r="I947" s="6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>
      <c r="A948" s="29"/>
      <c r="B948" s="29"/>
      <c r="C948" s="29"/>
      <c r="D948" s="29"/>
      <c r="E948" s="29"/>
      <c r="F948" s="29"/>
      <c r="G948" s="29"/>
      <c r="H948" s="67"/>
      <c r="I948" s="6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29"/>
      <c r="B949" s="29"/>
      <c r="C949" s="29"/>
      <c r="D949" s="29"/>
      <c r="E949" s="29"/>
      <c r="F949" s="29"/>
      <c r="G949" s="29"/>
      <c r="H949" s="67"/>
      <c r="I949" s="6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>
      <c r="A950" s="29"/>
      <c r="B950" s="29"/>
      <c r="C950" s="29"/>
      <c r="D950" s="29"/>
      <c r="E950" s="29"/>
      <c r="F950" s="29"/>
      <c r="G950" s="29"/>
      <c r="H950" s="67"/>
      <c r="I950" s="6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29"/>
      <c r="B951" s="29"/>
      <c r="C951" s="29"/>
      <c r="D951" s="29"/>
      <c r="E951" s="29"/>
      <c r="F951" s="29"/>
      <c r="G951" s="29"/>
      <c r="H951" s="67"/>
      <c r="I951" s="6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>
      <c r="A952" s="29"/>
      <c r="B952" s="29"/>
      <c r="C952" s="29"/>
      <c r="D952" s="29"/>
      <c r="E952" s="29"/>
      <c r="F952" s="29"/>
      <c r="G952" s="29"/>
      <c r="H952" s="67"/>
      <c r="I952" s="6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29"/>
      <c r="B953" s="29"/>
      <c r="C953" s="29"/>
      <c r="D953" s="29"/>
      <c r="E953" s="29"/>
      <c r="F953" s="29"/>
      <c r="G953" s="29"/>
      <c r="H953" s="67"/>
      <c r="I953" s="6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>
      <c r="A954" s="29"/>
      <c r="B954" s="29"/>
      <c r="C954" s="29"/>
      <c r="D954" s="29"/>
      <c r="E954" s="29"/>
      <c r="F954" s="29"/>
      <c r="G954" s="29"/>
      <c r="H954" s="67"/>
      <c r="I954" s="6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29"/>
      <c r="B955" s="29"/>
      <c r="C955" s="29"/>
      <c r="D955" s="29"/>
      <c r="E955" s="29"/>
      <c r="F955" s="29"/>
      <c r="G955" s="29"/>
      <c r="H955" s="67"/>
      <c r="I955" s="6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>
      <c r="A956" s="29"/>
      <c r="B956" s="29"/>
      <c r="C956" s="29"/>
      <c r="D956" s="29"/>
      <c r="E956" s="29"/>
      <c r="F956" s="29"/>
      <c r="G956" s="29"/>
      <c r="H956" s="67"/>
      <c r="I956" s="6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29"/>
      <c r="B957" s="29"/>
      <c r="C957" s="29"/>
      <c r="D957" s="29"/>
      <c r="E957" s="29"/>
      <c r="F957" s="29"/>
      <c r="G957" s="29"/>
      <c r="H957" s="67"/>
      <c r="I957" s="6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>
      <c r="A958" s="29"/>
      <c r="B958" s="29"/>
      <c r="C958" s="29"/>
      <c r="D958" s="29"/>
      <c r="E958" s="29"/>
      <c r="F958" s="29"/>
      <c r="G958" s="29"/>
      <c r="H958" s="67"/>
      <c r="I958" s="6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29"/>
      <c r="B959" s="29"/>
      <c r="C959" s="29"/>
      <c r="D959" s="29"/>
      <c r="E959" s="29"/>
      <c r="F959" s="29"/>
      <c r="G959" s="29"/>
      <c r="H959" s="67"/>
      <c r="I959" s="6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>
      <c r="A960" s="29"/>
      <c r="B960" s="29"/>
      <c r="C960" s="29"/>
      <c r="D960" s="29"/>
      <c r="E960" s="29"/>
      <c r="F960" s="29"/>
      <c r="G960" s="29"/>
      <c r="H960" s="67"/>
      <c r="I960" s="6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29"/>
      <c r="B961" s="29"/>
      <c r="C961" s="29"/>
      <c r="D961" s="29"/>
      <c r="E961" s="29"/>
      <c r="F961" s="29"/>
      <c r="G961" s="29"/>
      <c r="H961" s="67"/>
      <c r="I961" s="6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>
      <c r="A962" s="29"/>
      <c r="B962" s="29"/>
      <c r="C962" s="29"/>
      <c r="D962" s="29"/>
      <c r="E962" s="29"/>
      <c r="F962" s="29"/>
      <c r="G962" s="29"/>
      <c r="H962" s="67"/>
      <c r="I962" s="6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>
      <c r="A963" s="29"/>
      <c r="B963" s="29"/>
      <c r="C963" s="29"/>
      <c r="D963" s="29"/>
      <c r="E963" s="29"/>
      <c r="F963" s="29"/>
      <c r="G963" s="29"/>
      <c r="H963" s="67"/>
      <c r="I963" s="6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>
      <c r="A964" s="29"/>
      <c r="B964" s="29"/>
      <c r="C964" s="29"/>
      <c r="D964" s="29"/>
      <c r="E964" s="29"/>
      <c r="F964" s="29"/>
      <c r="G964" s="29"/>
      <c r="H964" s="67"/>
      <c r="I964" s="6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>
      <c r="A965" s="29"/>
      <c r="B965" s="29"/>
      <c r="C965" s="29"/>
      <c r="D965" s="29"/>
      <c r="E965" s="29"/>
      <c r="F965" s="29"/>
      <c r="G965" s="29"/>
      <c r="H965" s="67"/>
      <c r="I965" s="6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>
      <c r="A966" s="29"/>
      <c r="B966" s="29"/>
      <c r="C966" s="29"/>
      <c r="D966" s="29"/>
      <c r="E966" s="29"/>
      <c r="F966" s="29"/>
      <c r="G966" s="29"/>
      <c r="H966" s="67"/>
      <c r="I966" s="6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>
      <c r="A967" s="29"/>
      <c r="B967" s="29"/>
      <c r="C967" s="29"/>
      <c r="D967" s="29"/>
      <c r="E967" s="29"/>
      <c r="F967" s="29"/>
      <c r="G967" s="29"/>
      <c r="H967" s="67"/>
      <c r="I967" s="6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>
      <c r="A968" s="29"/>
      <c r="B968" s="29"/>
      <c r="C968" s="29"/>
      <c r="D968" s="29"/>
      <c r="E968" s="29"/>
      <c r="F968" s="29"/>
      <c r="G968" s="29"/>
      <c r="H968" s="67"/>
      <c r="I968" s="6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>
      <c r="A969" s="29"/>
      <c r="B969" s="29"/>
      <c r="C969" s="29"/>
      <c r="D969" s="29"/>
      <c r="E969" s="29"/>
      <c r="F969" s="29"/>
      <c r="G969" s="29"/>
      <c r="H969" s="67"/>
      <c r="I969" s="6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>
      <c r="A970" s="29"/>
      <c r="B970" s="29"/>
      <c r="C970" s="29"/>
      <c r="D970" s="29"/>
      <c r="E970" s="29"/>
      <c r="F970" s="29"/>
      <c r="G970" s="29"/>
      <c r="H970" s="67"/>
      <c r="I970" s="6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>
      <c r="A971" s="29"/>
      <c r="B971" s="29"/>
      <c r="C971" s="29"/>
      <c r="D971" s="29"/>
      <c r="E971" s="29"/>
      <c r="F971" s="29"/>
      <c r="G971" s="29"/>
      <c r="H971" s="67"/>
      <c r="I971" s="6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>
      <c r="A972" s="29"/>
      <c r="B972" s="29"/>
      <c r="C972" s="29"/>
      <c r="D972" s="29"/>
      <c r="E972" s="29"/>
      <c r="F972" s="29"/>
      <c r="G972" s="29"/>
      <c r="H972" s="67"/>
      <c r="I972" s="6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>
      <c r="A973" s="29"/>
      <c r="B973" s="29"/>
      <c r="C973" s="29"/>
      <c r="D973" s="29"/>
      <c r="E973" s="29"/>
      <c r="F973" s="29"/>
      <c r="G973" s="29"/>
      <c r="H973" s="67"/>
      <c r="I973" s="6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>
      <c r="A974" s="29"/>
      <c r="B974" s="29"/>
      <c r="C974" s="29"/>
      <c r="D974" s="29"/>
      <c r="E974" s="29"/>
      <c r="F974" s="29"/>
      <c r="G974" s="29"/>
      <c r="H974" s="67"/>
      <c r="I974" s="6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>
      <c r="A975" s="29"/>
      <c r="B975" s="29"/>
      <c r="C975" s="29"/>
      <c r="D975" s="29"/>
      <c r="E975" s="29"/>
      <c r="F975" s="29"/>
      <c r="G975" s="29"/>
      <c r="H975" s="67"/>
      <c r="I975" s="6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>
      <c r="A976" s="29"/>
      <c r="B976" s="29"/>
      <c r="C976" s="29"/>
      <c r="D976" s="29"/>
      <c r="E976" s="29"/>
      <c r="F976" s="29"/>
      <c r="G976" s="29"/>
      <c r="H976" s="67"/>
      <c r="I976" s="6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>
      <c r="A977" s="29"/>
      <c r="B977" s="29"/>
      <c r="C977" s="29"/>
      <c r="D977" s="29"/>
      <c r="E977" s="29"/>
      <c r="F977" s="29"/>
      <c r="G977" s="29"/>
      <c r="H977" s="67"/>
      <c r="I977" s="6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>
      <c r="A978" s="29"/>
      <c r="B978" s="29"/>
      <c r="C978" s="29"/>
      <c r="D978" s="29"/>
      <c r="E978" s="29"/>
      <c r="F978" s="29"/>
      <c r="G978" s="29"/>
      <c r="H978" s="67"/>
      <c r="I978" s="6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>
      <c r="A979" s="29"/>
      <c r="B979" s="29"/>
      <c r="C979" s="29"/>
      <c r="D979" s="29"/>
      <c r="E979" s="29"/>
      <c r="F979" s="29"/>
      <c r="G979" s="29"/>
      <c r="H979" s="67"/>
      <c r="I979" s="6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>
      <c r="A980" s="29"/>
      <c r="B980" s="29"/>
      <c r="C980" s="29"/>
      <c r="D980" s="29"/>
      <c r="E980" s="29"/>
      <c r="F980" s="29"/>
      <c r="G980" s="29"/>
      <c r="H980" s="67"/>
      <c r="I980" s="6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>
      <c r="A981" s="29"/>
      <c r="B981" s="29"/>
      <c r="C981" s="29"/>
      <c r="D981" s="29"/>
      <c r="E981" s="29"/>
      <c r="F981" s="29"/>
      <c r="G981" s="29"/>
      <c r="H981" s="67"/>
      <c r="I981" s="6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>
      <c r="A982" s="29"/>
      <c r="B982" s="29"/>
      <c r="C982" s="29"/>
      <c r="D982" s="29"/>
      <c r="E982" s="29"/>
      <c r="F982" s="29"/>
      <c r="G982" s="29"/>
      <c r="H982" s="67"/>
      <c r="I982" s="6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>
      <c r="A983" s="29"/>
      <c r="B983" s="29"/>
      <c r="C983" s="29"/>
      <c r="D983" s="29"/>
      <c r="E983" s="29"/>
      <c r="F983" s="29"/>
      <c r="G983" s="29"/>
      <c r="H983" s="67"/>
      <c r="I983" s="6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>
      <c r="A984" s="29"/>
      <c r="B984" s="29"/>
      <c r="C984" s="29"/>
      <c r="D984" s="29"/>
      <c r="E984" s="29"/>
      <c r="F984" s="29"/>
      <c r="G984" s="29"/>
      <c r="H984" s="67"/>
      <c r="I984" s="6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>
      <c r="A985" s="29"/>
      <c r="B985" s="29"/>
      <c r="C985" s="29"/>
      <c r="D985" s="29"/>
      <c r="E985" s="29"/>
      <c r="F985" s="29"/>
      <c r="G985" s="29"/>
      <c r="H985" s="67"/>
      <c r="I985" s="6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>
      <c r="A986" s="29"/>
      <c r="B986" s="29"/>
      <c r="C986" s="29"/>
      <c r="D986" s="29"/>
      <c r="E986" s="29"/>
      <c r="F986" s="29"/>
      <c r="G986" s="29"/>
      <c r="H986" s="67"/>
      <c r="I986" s="6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>
      <c r="A987" s="29"/>
      <c r="B987" s="29"/>
      <c r="C987" s="29"/>
      <c r="D987" s="29"/>
      <c r="E987" s="29"/>
      <c r="F987" s="29"/>
      <c r="G987" s="29"/>
      <c r="H987" s="67"/>
      <c r="I987" s="6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>
      <c r="A988" s="29"/>
      <c r="B988" s="29"/>
      <c r="C988" s="29"/>
      <c r="D988" s="29"/>
      <c r="E988" s="29"/>
      <c r="F988" s="29"/>
      <c r="G988" s="29"/>
      <c r="H988" s="67"/>
      <c r="I988" s="6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>
      <c r="A989" s="29"/>
      <c r="B989" s="29"/>
      <c r="C989" s="29"/>
      <c r="D989" s="29"/>
      <c r="E989" s="29"/>
      <c r="F989" s="29"/>
      <c r="G989" s="29"/>
      <c r="H989" s="67"/>
      <c r="I989" s="6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>
      <c r="A990" s="29"/>
      <c r="B990" s="29"/>
      <c r="C990" s="29"/>
      <c r="D990" s="29"/>
      <c r="E990" s="29"/>
      <c r="F990" s="29"/>
      <c r="G990" s="29"/>
      <c r="H990" s="67"/>
      <c r="I990" s="6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>
      <c r="A991" s="29"/>
      <c r="B991" s="29"/>
      <c r="C991" s="29"/>
      <c r="D991" s="29"/>
      <c r="E991" s="29"/>
      <c r="F991" s="29"/>
      <c r="G991" s="29"/>
      <c r="H991" s="67"/>
      <c r="I991" s="6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>
      <c r="A992" s="29"/>
      <c r="B992" s="29"/>
      <c r="C992" s="29"/>
      <c r="D992" s="29"/>
      <c r="E992" s="29"/>
      <c r="F992" s="29"/>
      <c r="G992" s="29"/>
      <c r="H992" s="67"/>
      <c r="I992" s="6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>
      <c r="A993" s="29"/>
      <c r="B993" s="29"/>
      <c r="C993" s="29"/>
      <c r="D993" s="29"/>
      <c r="E993" s="29"/>
      <c r="F993" s="29"/>
      <c r="G993" s="29"/>
      <c r="H993" s="67"/>
      <c r="I993" s="6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>
      <c r="A994" s="29"/>
      <c r="B994" s="29"/>
      <c r="C994" s="29"/>
      <c r="D994" s="29"/>
      <c r="E994" s="29"/>
      <c r="F994" s="29"/>
      <c r="G994" s="29"/>
      <c r="H994" s="67"/>
      <c r="I994" s="6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>
      <c r="A995" s="29"/>
      <c r="B995" s="29"/>
      <c r="C995" s="29"/>
      <c r="D995" s="29"/>
      <c r="E995" s="29"/>
      <c r="F995" s="29"/>
      <c r="G995" s="29"/>
      <c r="H995" s="67"/>
      <c r="I995" s="6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>
      <c r="A996" s="29"/>
      <c r="B996" s="29"/>
      <c r="C996" s="29"/>
      <c r="D996" s="29"/>
      <c r="E996" s="29"/>
      <c r="F996" s="29"/>
      <c r="G996" s="29"/>
      <c r="H996" s="67"/>
      <c r="I996" s="6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>
      <c r="A997" s="29"/>
      <c r="B997" s="29"/>
      <c r="C997" s="29"/>
      <c r="D997" s="29"/>
      <c r="E997" s="29"/>
      <c r="F997" s="29"/>
      <c r="G997" s="29"/>
      <c r="H997" s="67"/>
      <c r="I997" s="6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>
      <c r="A998" s="29"/>
      <c r="B998" s="29"/>
      <c r="C998" s="29"/>
      <c r="D998" s="29"/>
      <c r="E998" s="29"/>
      <c r="F998" s="29"/>
      <c r="G998" s="29"/>
      <c r="H998" s="67"/>
      <c r="I998" s="6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>
      <c r="A999" s="29"/>
      <c r="B999" s="29"/>
      <c r="C999" s="29"/>
      <c r="D999" s="29"/>
      <c r="E999" s="29"/>
      <c r="F999" s="29"/>
      <c r="G999" s="29"/>
      <c r="H999" s="67"/>
      <c r="I999" s="6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>
      <c r="A1000" s="29"/>
      <c r="B1000" s="29"/>
      <c r="C1000" s="29"/>
      <c r="D1000" s="29"/>
      <c r="E1000" s="29"/>
      <c r="F1000" s="29"/>
      <c r="G1000" s="29"/>
      <c r="H1000" s="67"/>
      <c r="I1000" s="6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  <row r="1001">
      <c r="A1001" s="29"/>
      <c r="B1001" s="29"/>
      <c r="C1001" s="29"/>
      <c r="D1001" s="29"/>
      <c r="E1001" s="29"/>
      <c r="F1001" s="29"/>
      <c r="G1001" s="29"/>
      <c r="H1001" s="67"/>
      <c r="I1001" s="67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</row>
    <row r="1002">
      <c r="A1002" s="29"/>
      <c r="B1002" s="29"/>
      <c r="C1002" s="29"/>
      <c r="D1002" s="29"/>
      <c r="E1002" s="29"/>
      <c r="F1002" s="29"/>
      <c r="G1002" s="29"/>
      <c r="H1002" s="67"/>
      <c r="I1002" s="67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</row>
  </sheetData>
  <autoFilter ref="$B$4:$R$71">
    <sortState ref="B4:R71">
      <sortCondition ref="B4:B71"/>
    </sortState>
  </autoFilter>
  <mergeCells count="12">
    <mergeCell ref="G2:G3"/>
    <mergeCell ref="H2:I2"/>
    <mergeCell ref="J2:K2"/>
    <mergeCell ref="L2:M2"/>
    <mergeCell ref="A1:AC1"/>
    <mergeCell ref="A2:A3"/>
    <mergeCell ref="B2:B3"/>
    <mergeCell ref="C2:C3"/>
    <mergeCell ref="D2:D3"/>
    <mergeCell ref="E2:E3"/>
    <mergeCell ref="F2:F3"/>
    <mergeCell ref="N2:O2"/>
  </mergeCells>
  <dataValidations>
    <dataValidation type="list" allowBlank="1" showErrorMessage="1" sqref="E19">
      <formula1>"Married,Single,Widowed"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15.38"/>
  </cols>
  <sheetData>
    <row r="1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12"/>
    </row>
    <row r="2">
      <c r="A2" s="9" t="s">
        <v>0</v>
      </c>
      <c r="B2" s="9" t="s">
        <v>2</v>
      </c>
      <c r="C2" s="9" t="s">
        <v>3</v>
      </c>
      <c r="D2" s="13" t="s">
        <v>4</v>
      </c>
      <c r="E2" s="13" t="s">
        <v>5</v>
      </c>
      <c r="F2" s="9" t="s">
        <v>6</v>
      </c>
      <c r="G2" s="13" t="s">
        <v>7</v>
      </c>
      <c r="H2" s="18" t="s">
        <v>13</v>
      </c>
      <c r="I2" s="12"/>
      <c r="J2" s="23" t="s">
        <v>17</v>
      </c>
      <c r="K2" s="12"/>
      <c r="L2" s="23" t="s">
        <v>18</v>
      </c>
      <c r="M2" s="12"/>
      <c r="N2" s="23" t="s">
        <v>20</v>
      </c>
      <c r="O2" s="1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0"/>
      <c r="B3" s="30"/>
      <c r="C3" s="30"/>
      <c r="D3" s="30"/>
      <c r="E3" s="30"/>
      <c r="F3" s="30"/>
      <c r="G3" s="30"/>
      <c r="H3" s="32" t="s">
        <v>31</v>
      </c>
      <c r="I3" s="32" t="s">
        <v>32</v>
      </c>
      <c r="J3" s="33" t="s">
        <v>9</v>
      </c>
      <c r="K3" s="33" t="s">
        <v>32</v>
      </c>
      <c r="L3" s="33" t="s">
        <v>9</v>
      </c>
      <c r="M3" s="33" t="s">
        <v>32</v>
      </c>
      <c r="N3" s="34" t="s">
        <v>11</v>
      </c>
      <c r="O3" s="33" t="s">
        <v>32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>
      <c r="A4" s="36"/>
      <c r="B4" s="37"/>
      <c r="C4" s="38"/>
      <c r="D4" s="39"/>
      <c r="E4" s="39"/>
      <c r="F4" s="39"/>
      <c r="G4" s="40"/>
      <c r="H4" s="42"/>
      <c r="I4" s="42"/>
      <c r="J4" s="39"/>
      <c r="K4" s="39"/>
      <c r="L4" s="39"/>
      <c r="M4" s="3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37">
        <v>1.0</v>
      </c>
      <c r="B5" s="37" t="s">
        <v>46</v>
      </c>
      <c r="C5" s="38" t="s">
        <v>47</v>
      </c>
      <c r="D5" s="39"/>
      <c r="E5" s="39"/>
      <c r="F5" s="39"/>
      <c r="G5" s="40" t="s">
        <v>48</v>
      </c>
      <c r="H5" s="42"/>
      <c r="I5" s="42">
        <v>200.0</v>
      </c>
      <c r="J5" s="47">
        <v>46222.0</v>
      </c>
      <c r="K5" s="38">
        <v>200.0</v>
      </c>
      <c r="L5" s="39"/>
      <c r="M5" s="39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>
      <c r="A6" s="51">
        <v>2.0</v>
      </c>
      <c r="B6" s="37" t="s">
        <v>57</v>
      </c>
      <c r="C6" s="38" t="s">
        <v>58</v>
      </c>
      <c r="D6" s="39"/>
      <c r="E6" s="39"/>
      <c r="F6" s="39"/>
      <c r="G6" s="40" t="s">
        <v>48</v>
      </c>
      <c r="H6" s="42"/>
      <c r="I6" s="42">
        <v>200.0</v>
      </c>
      <c r="J6" s="39"/>
      <c r="K6" s="39"/>
      <c r="L6" s="39"/>
      <c r="M6" s="39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>
      <c r="A7" s="37">
        <v>3.0</v>
      </c>
      <c r="B7" s="37" t="s">
        <v>62</v>
      </c>
      <c r="C7" s="38" t="s">
        <v>40</v>
      </c>
      <c r="D7" s="39"/>
      <c r="E7" s="39"/>
      <c r="F7" s="39"/>
      <c r="G7" s="40" t="s">
        <v>48</v>
      </c>
      <c r="H7" s="42"/>
      <c r="I7" s="42">
        <v>200.0</v>
      </c>
      <c r="J7" s="39"/>
      <c r="K7" s="39"/>
      <c r="L7" s="39"/>
      <c r="M7" s="39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>
      <c r="A8" s="51">
        <v>4.0</v>
      </c>
      <c r="B8" s="37" t="s">
        <v>69</v>
      </c>
      <c r="C8" s="38" t="s">
        <v>70</v>
      </c>
      <c r="D8" s="39"/>
      <c r="E8" s="39"/>
      <c r="F8" s="38"/>
      <c r="G8" s="40" t="s">
        <v>48</v>
      </c>
      <c r="H8" s="42"/>
      <c r="I8" s="42">
        <v>200.0</v>
      </c>
      <c r="J8" s="39"/>
      <c r="K8" s="39"/>
      <c r="L8" s="39"/>
      <c r="M8" s="3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>
      <c r="A9" s="37">
        <v>5.0</v>
      </c>
      <c r="B9" s="37" t="s">
        <v>76</v>
      </c>
      <c r="C9" s="38" t="s">
        <v>78</v>
      </c>
      <c r="D9" s="39"/>
      <c r="E9" s="39"/>
      <c r="F9" s="39"/>
      <c r="G9" s="40" t="s">
        <v>48</v>
      </c>
      <c r="H9" s="56">
        <v>45854.0</v>
      </c>
      <c r="I9" s="42">
        <v>200.0</v>
      </c>
      <c r="J9" s="47">
        <v>46187.0</v>
      </c>
      <c r="K9" s="38">
        <v>200.0</v>
      </c>
      <c r="L9" s="47">
        <v>45942.0</v>
      </c>
      <c r="M9" s="38">
        <v>100.0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>
      <c r="A10" s="51">
        <v>6.0</v>
      </c>
      <c r="B10" s="37" t="s">
        <v>76</v>
      </c>
      <c r="C10" s="38" t="s">
        <v>87</v>
      </c>
      <c r="D10" s="39"/>
      <c r="E10" s="39"/>
      <c r="F10" s="39"/>
      <c r="G10" s="40" t="s">
        <v>48</v>
      </c>
      <c r="H10" s="56">
        <v>45942.0</v>
      </c>
      <c r="I10" s="42">
        <v>200.0</v>
      </c>
      <c r="J10" s="47">
        <v>46187.0</v>
      </c>
      <c r="K10" s="38">
        <v>200.0</v>
      </c>
      <c r="L10" s="47">
        <v>45942.0</v>
      </c>
      <c r="M10" s="38">
        <v>100.0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>
      <c r="A11" s="37">
        <v>7.0</v>
      </c>
      <c r="B11" s="37" t="s">
        <v>76</v>
      </c>
      <c r="C11" s="38" t="s">
        <v>91</v>
      </c>
      <c r="D11" s="39"/>
      <c r="E11" s="39"/>
      <c r="F11" s="39"/>
      <c r="G11" s="40" t="s">
        <v>48</v>
      </c>
      <c r="H11" s="56">
        <v>45942.0</v>
      </c>
      <c r="I11" s="42">
        <v>200.0</v>
      </c>
      <c r="J11" s="47">
        <v>46187.0</v>
      </c>
      <c r="K11" s="38">
        <v>200.0</v>
      </c>
      <c r="L11" s="47">
        <v>45942.0</v>
      </c>
      <c r="M11" s="38">
        <v>100.0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>
      <c r="A12" s="51">
        <v>8.0</v>
      </c>
      <c r="B12" s="37" t="s">
        <v>76</v>
      </c>
      <c r="C12" s="38" t="s">
        <v>97</v>
      </c>
      <c r="D12" s="39"/>
      <c r="E12" s="39"/>
      <c r="F12" s="39"/>
      <c r="G12" s="40" t="s">
        <v>48</v>
      </c>
      <c r="H12" s="56">
        <v>45942.0</v>
      </c>
      <c r="I12" s="42">
        <v>200.0</v>
      </c>
      <c r="J12" s="47">
        <v>46187.0</v>
      </c>
      <c r="K12" s="38">
        <v>200.0</v>
      </c>
      <c r="L12" s="47">
        <v>45942.0</v>
      </c>
      <c r="M12" s="38">
        <v>100.0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>
      <c r="A13" s="37">
        <v>9.0</v>
      </c>
      <c r="B13" s="37" t="s">
        <v>100</v>
      </c>
      <c r="C13" s="38" t="s">
        <v>102</v>
      </c>
      <c r="D13" s="38" t="s">
        <v>104</v>
      </c>
      <c r="E13" s="39"/>
      <c r="F13" s="39"/>
      <c r="G13" s="40" t="s">
        <v>48</v>
      </c>
      <c r="H13" s="42"/>
      <c r="I13" s="42">
        <v>200.0</v>
      </c>
      <c r="J13" s="39"/>
      <c r="K13" s="39"/>
      <c r="L13" s="39"/>
      <c r="M13" s="39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>
      <c r="A14" s="51">
        <v>10.0</v>
      </c>
      <c r="B14" s="37" t="s">
        <v>112</v>
      </c>
      <c r="C14" s="38" t="s">
        <v>114</v>
      </c>
      <c r="D14" s="39"/>
      <c r="E14" s="39"/>
      <c r="F14" s="39"/>
      <c r="G14" s="40" t="s">
        <v>48</v>
      </c>
      <c r="H14" s="56">
        <v>45853.0</v>
      </c>
      <c r="I14" s="42">
        <v>200.0</v>
      </c>
      <c r="J14" s="47">
        <v>46187.0</v>
      </c>
      <c r="K14" s="38">
        <v>200.0</v>
      </c>
      <c r="L14" s="47">
        <v>45942.0</v>
      </c>
      <c r="M14" s="38">
        <v>100.0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>
      <c r="A15" s="37">
        <v>11.0</v>
      </c>
      <c r="B15" s="37" t="s">
        <v>120</v>
      </c>
      <c r="C15" s="38" t="s">
        <v>122</v>
      </c>
      <c r="D15" s="39"/>
      <c r="E15" s="39"/>
      <c r="F15" s="39"/>
      <c r="G15" s="40" t="s">
        <v>48</v>
      </c>
      <c r="H15" s="56">
        <v>45942.0</v>
      </c>
      <c r="I15" s="42">
        <v>200.0</v>
      </c>
      <c r="J15" s="47">
        <v>46187.0</v>
      </c>
      <c r="K15" s="38">
        <v>200.0</v>
      </c>
      <c r="L15" s="47">
        <v>45942.0</v>
      </c>
      <c r="M15" s="38">
        <v>100.0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51">
        <v>12.0</v>
      </c>
      <c r="B16" s="37" t="s">
        <v>128</v>
      </c>
      <c r="C16" s="38" t="s">
        <v>130</v>
      </c>
      <c r="D16" s="39"/>
      <c r="E16" s="39"/>
      <c r="F16" s="39"/>
      <c r="G16" s="40" t="s">
        <v>48</v>
      </c>
      <c r="H16" s="56">
        <v>45900.0</v>
      </c>
      <c r="I16" s="42">
        <v>200.0</v>
      </c>
      <c r="J16" s="39"/>
      <c r="K16" s="39"/>
      <c r="L16" s="39"/>
      <c r="M16" s="39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>
      <c r="A17" s="37">
        <v>13.0</v>
      </c>
      <c r="B17" s="37" t="s">
        <v>135</v>
      </c>
      <c r="C17" s="38" t="s">
        <v>136</v>
      </c>
      <c r="D17" s="38" t="s">
        <v>137</v>
      </c>
      <c r="E17" s="39"/>
      <c r="F17" s="39"/>
      <c r="G17" s="40" t="s">
        <v>48</v>
      </c>
      <c r="H17" s="42"/>
      <c r="I17" s="42">
        <v>200.0</v>
      </c>
      <c r="J17" s="39"/>
      <c r="K17" s="39"/>
      <c r="L17" s="39"/>
      <c r="M17" s="39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>
      <c r="A18" s="51">
        <v>14.0</v>
      </c>
      <c r="B18" s="37" t="s">
        <v>141</v>
      </c>
      <c r="C18" s="38" t="s">
        <v>142</v>
      </c>
      <c r="D18" s="39"/>
      <c r="E18" s="39"/>
      <c r="F18" s="39"/>
      <c r="G18" s="40" t="s">
        <v>48</v>
      </c>
      <c r="H18" s="41"/>
      <c r="I18" s="41">
        <v>200.0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A19" s="37">
        <v>15.0</v>
      </c>
      <c r="B19" s="37" t="s">
        <v>147</v>
      </c>
      <c r="C19" s="38" t="s">
        <v>148</v>
      </c>
      <c r="D19" s="39"/>
      <c r="E19" s="39"/>
      <c r="F19" s="39"/>
      <c r="G19" s="40" t="s">
        <v>48</v>
      </c>
      <c r="H19" s="41"/>
      <c r="I19" s="41">
        <v>200.0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A20" s="51">
        <v>16.0</v>
      </c>
      <c r="B20" s="37" t="s">
        <v>150</v>
      </c>
      <c r="C20" s="38" t="s">
        <v>78</v>
      </c>
      <c r="D20" s="38" t="s">
        <v>36</v>
      </c>
      <c r="E20" s="39"/>
      <c r="F20" s="39"/>
      <c r="G20" s="40" t="s">
        <v>48</v>
      </c>
      <c r="H20" s="42"/>
      <c r="I20" s="42">
        <v>200.0</v>
      </c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37">
        <v>17.0</v>
      </c>
      <c r="B21" s="37" t="s">
        <v>150</v>
      </c>
      <c r="C21" s="38" t="s">
        <v>151</v>
      </c>
      <c r="D21" s="39"/>
      <c r="E21" s="39"/>
      <c r="F21" s="39"/>
      <c r="G21" s="40" t="s">
        <v>48</v>
      </c>
      <c r="H21" s="42"/>
      <c r="I21" s="42">
        <v>200.0</v>
      </c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51">
        <v>18.0</v>
      </c>
      <c r="B22" s="37" t="s">
        <v>154</v>
      </c>
      <c r="C22" s="38" t="s">
        <v>156</v>
      </c>
      <c r="D22" s="38" t="s">
        <v>157</v>
      </c>
      <c r="E22" s="39"/>
      <c r="F22" s="39"/>
      <c r="G22" s="40" t="s">
        <v>48</v>
      </c>
      <c r="H22" s="42"/>
      <c r="I22" s="42">
        <v>200.0</v>
      </c>
      <c r="J22" s="39"/>
      <c r="K22" s="39"/>
      <c r="L22" s="39"/>
      <c r="M22" s="39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7">
        <v>19.0</v>
      </c>
      <c r="B23" s="37" t="s">
        <v>161</v>
      </c>
      <c r="C23" s="38" t="s">
        <v>162</v>
      </c>
      <c r="D23" s="39"/>
      <c r="E23" s="39"/>
      <c r="F23" s="39"/>
      <c r="G23" s="40" t="s">
        <v>48</v>
      </c>
      <c r="H23" s="42"/>
      <c r="I23" s="42">
        <v>200.0</v>
      </c>
      <c r="J23" s="47">
        <v>46187.0</v>
      </c>
      <c r="K23" s="38">
        <v>200.0</v>
      </c>
      <c r="L23" s="47">
        <v>45970.0</v>
      </c>
      <c r="M23" s="38">
        <v>100.0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37">
        <v>20.0</v>
      </c>
      <c r="B24" s="37" t="s">
        <v>168</v>
      </c>
      <c r="C24" s="38" t="s">
        <v>169</v>
      </c>
      <c r="D24" s="38" t="s">
        <v>167</v>
      </c>
      <c r="E24" s="39"/>
      <c r="F24" s="39"/>
      <c r="G24" s="40" t="s">
        <v>48</v>
      </c>
      <c r="H24" s="42"/>
      <c r="I24" s="42">
        <v>200.0</v>
      </c>
      <c r="J24" s="39"/>
      <c r="K24" s="39"/>
      <c r="L24" s="39"/>
      <c r="M24" s="3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51">
        <v>21.0</v>
      </c>
      <c r="B25" s="37" t="s">
        <v>172</v>
      </c>
      <c r="C25" s="37" t="s">
        <v>173</v>
      </c>
      <c r="D25" s="28"/>
      <c r="E25" s="28"/>
      <c r="F25" s="28"/>
      <c r="G25" s="40" t="s">
        <v>48</v>
      </c>
      <c r="H25" s="28"/>
      <c r="I25" s="28"/>
      <c r="J25" s="47">
        <v>46187.0</v>
      </c>
      <c r="K25" s="38">
        <v>200.0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37">
        <v>22.0</v>
      </c>
      <c r="B26" s="37" t="s">
        <v>181</v>
      </c>
      <c r="C26" s="38" t="s">
        <v>183</v>
      </c>
      <c r="D26" s="39"/>
      <c r="E26" s="39"/>
      <c r="F26" s="39"/>
      <c r="G26" s="40" t="s">
        <v>48</v>
      </c>
      <c r="H26" s="56">
        <v>45851.0</v>
      </c>
      <c r="I26" s="42">
        <v>200.0</v>
      </c>
      <c r="J26" s="47">
        <v>46215.0</v>
      </c>
      <c r="K26" s="38">
        <v>200.0</v>
      </c>
      <c r="L26" s="47">
        <v>45900.0</v>
      </c>
      <c r="M26" s="38">
        <v>100.0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51">
        <v>23.0</v>
      </c>
      <c r="B27" s="60" t="s">
        <v>181</v>
      </c>
      <c r="C27" s="38" t="s">
        <v>193</v>
      </c>
      <c r="D27" s="40" t="s">
        <v>194</v>
      </c>
      <c r="E27" s="39"/>
      <c r="F27" s="39"/>
      <c r="G27" s="40" t="s">
        <v>48</v>
      </c>
      <c r="H27" s="56">
        <v>45900.0</v>
      </c>
      <c r="I27" s="42">
        <v>200.0</v>
      </c>
      <c r="J27" s="47">
        <v>46215.0</v>
      </c>
      <c r="K27" s="38">
        <v>200.0</v>
      </c>
      <c r="L27" s="39"/>
      <c r="M27" s="39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37">
        <v>24.0</v>
      </c>
      <c r="B28" s="38" t="s">
        <v>181</v>
      </c>
      <c r="C28" s="38" t="s">
        <v>196</v>
      </c>
      <c r="D28" s="39"/>
      <c r="E28" s="39"/>
      <c r="F28" s="39"/>
      <c r="G28" s="40" t="s">
        <v>48</v>
      </c>
      <c r="H28" s="39"/>
      <c r="I28" s="39"/>
      <c r="J28" s="47">
        <v>46215.0</v>
      </c>
      <c r="K28" s="38">
        <v>200.0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28"/>
      <c r="AB28" s="28"/>
      <c r="AC28" s="28"/>
    </row>
    <row r="29">
      <c r="A29" s="51">
        <v>25.0</v>
      </c>
      <c r="B29" s="38" t="s">
        <v>181</v>
      </c>
      <c r="C29" s="38" t="s">
        <v>204</v>
      </c>
      <c r="D29" s="28"/>
      <c r="E29" s="28"/>
      <c r="F29" s="28"/>
      <c r="G29" s="40" t="s">
        <v>48</v>
      </c>
      <c r="H29" s="28"/>
      <c r="I29" s="28"/>
      <c r="J29" s="47">
        <v>46215.0</v>
      </c>
      <c r="K29" s="38">
        <v>200.0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37">
        <v>26.0</v>
      </c>
      <c r="B30" s="38" t="s">
        <v>181</v>
      </c>
      <c r="C30" s="37" t="s">
        <v>210</v>
      </c>
      <c r="D30" s="28"/>
      <c r="E30" s="28"/>
      <c r="F30" s="28"/>
      <c r="G30" s="40" t="s">
        <v>48</v>
      </c>
      <c r="H30" s="28"/>
      <c r="I30" s="28"/>
      <c r="J30" s="47">
        <v>46215.0</v>
      </c>
      <c r="K30" s="38">
        <v>200.0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51">
        <v>27.0</v>
      </c>
      <c r="B31" s="37" t="s">
        <v>216</v>
      </c>
      <c r="C31" s="38" t="s">
        <v>217</v>
      </c>
      <c r="D31" s="39"/>
      <c r="E31" s="39"/>
      <c r="F31" s="39"/>
      <c r="G31" s="40" t="s">
        <v>48</v>
      </c>
      <c r="H31" s="42"/>
      <c r="I31" s="42">
        <v>200.0</v>
      </c>
      <c r="J31" s="39"/>
      <c r="K31" s="39"/>
      <c r="L31" s="39"/>
      <c r="M31" s="3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37">
        <v>28.0</v>
      </c>
      <c r="B32" s="37" t="s">
        <v>220</v>
      </c>
      <c r="C32" s="38" t="s">
        <v>221</v>
      </c>
      <c r="D32" s="39"/>
      <c r="E32" s="39"/>
      <c r="F32" s="39"/>
      <c r="G32" s="40" t="s">
        <v>48</v>
      </c>
      <c r="H32" s="42"/>
      <c r="I32" s="42">
        <v>200.0</v>
      </c>
      <c r="J32" s="39"/>
      <c r="K32" s="39"/>
      <c r="L32" s="39"/>
      <c r="M32" s="3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51">
        <v>29.0</v>
      </c>
      <c r="B33" s="37" t="s">
        <v>226</v>
      </c>
      <c r="C33" s="38" t="s">
        <v>227</v>
      </c>
      <c r="D33" s="39"/>
      <c r="E33" s="39"/>
      <c r="F33" s="39"/>
      <c r="G33" s="40" t="s">
        <v>48</v>
      </c>
      <c r="H33" s="42"/>
      <c r="I33" s="42">
        <v>200.0</v>
      </c>
      <c r="J33" s="39"/>
      <c r="K33" s="39"/>
      <c r="L33" s="39"/>
      <c r="M33" s="3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37">
        <v>30.0</v>
      </c>
      <c r="B34" s="37" t="s">
        <v>234</v>
      </c>
      <c r="C34" s="38" t="s">
        <v>235</v>
      </c>
      <c r="D34" s="39"/>
      <c r="E34" s="39"/>
      <c r="F34" s="39"/>
      <c r="G34" s="40" t="s">
        <v>48</v>
      </c>
      <c r="H34" s="56">
        <v>45942.0</v>
      </c>
      <c r="I34" s="42">
        <v>200.0</v>
      </c>
      <c r="J34" s="47">
        <v>46187.0</v>
      </c>
      <c r="K34" s="38">
        <v>200.0</v>
      </c>
      <c r="L34" s="47">
        <v>45942.0</v>
      </c>
      <c r="M34" s="38">
        <v>100.0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51">
        <v>31.0</v>
      </c>
      <c r="B35" s="36" t="s">
        <v>238</v>
      </c>
      <c r="C35" s="38" t="s">
        <v>213</v>
      </c>
      <c r="D35" s="38"/>
      <c r="E35" s="38"/>
      <c r="F35" s="47"/>
      <c r="G35" s="40" t="s">
        <v>48</v>
      </c>
      <c r="H35" s="42"/>
      <c r="I35" s="42">
        <v>200.0</v>
      </c>
      <c r="J35" s="47"/>
      <c r="K35" s="38"/>
      <c r="L35" s="47">
        <v>45970.0</v>
      </c>
      <c r="M35" s="38">
        <v>100.0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37">
        <v>32.0</v>
      </c>
      <c r="B36" s="37" t="s">
        <v>238</v>
      </c>
      <c r="C36" s="38" t="s">
        <v>239</v>
      </c>
      <c r="D36" s="39"/>
      <c r="E36" s="39"/>
      <c r="F36" s="39"/>
      <c r="G36" s="40" t="s">
        <v>48</v>
      </c>
      <c r="H36" s="56">
        <v>45942.0</v>
      </c>
      <c r="I36" s="42">
        <v>200.0</v>
      </c>
      <c r="J36" s="47"/>
      <c r="K36" s="38"/>
      <c r="L36" s="47">
        <v>45942.0</v>
      </c>
      <c r="M36" s="38">
        <v>100.0</v>
      </c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51">
        <v>33.0</v>
      </c>
      <c r="B37" s="37" t="s">
        <v>238</v>
      </c>
      <c r="C37" s="38" t="s">
        <v>240</v>
      </c>
      <c r="D37" s="39"/>
      <c r="E37" s="39"/>
      <c r="F37" s="39"/>
      <c r="G37" s="40" t="s">
        <v>48</v>
      </c>
      <c r="H37" s="56">
        <v>45942.0</v>
      </c>
      <c r="I37" s="42">
        <v>200.0</v>
      </c>
      <c r="J37" s="47"/>
      <c r="K37" s="38"/>
      <c r="L37" s="47">
        <v>45942.0</v>
      </c>
      <c r="M37" s="38">
        <v>100.0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37">
        <v>34.0</v>
      </c>
      <c r="B38" s="37" t="s">
        <v>238</v>
      </c>
      <c r="C38" s="38" t="s">
        <v>241</v>
      </c>
      <c r="D38" s="39"/>
      <c r="E38" s="39"/>
      <c r="F38" s="39"/>
      <c r="G38" s="40" t="s">
        <v>48</v>
      </c>
      <c r="H38" s="56">
        <v>45942.0</v>
      </c>
      <c r="I38" s="42">
        <v>200.0</v>
      </c>
      <c r="J38" s="47"/>
      <c r="K38" s="38"/>
      <c r="L38" s="47">
        <v>45942.0</v>
      </c>
      <c r="M38" s="38">
        <v>100.0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51">
        <v>35.0</v>
      </c>
      <c r="B39" s="37" t="s">
        <v>243</v>
      </c>
      <c r="C39" s="38" t="s">
        <v>244</v>
      </c>
      <c r="D39" s="39"/>
      <c r="E39" s="39"/>
      <c r="F39" s="39"/>
      <c r="G39" s="40" t="s">
        <v>48</v>
      </c>
      <c r="H39" s="56">
        <v>45942.0</v>
      </c>
      <c r="I39" s="42">
        <v>200.0</v>
      </c>
      <c r="J39" s="47"/>
      <c r="K39" s="38"/>
      <c r="L39" s="47">
        <v>45942.0</v>
      </c>
      <c r="M39" s="38">
        <v>100.0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37">
        <v>36.0</v>
      </c>
      <c r="B40" s="37" t="s">
        <v>245</v>
      </c>
      <c r="C40" s="38" t="s">
        <v>246</v>
      </c>
      <c r="D40" s="39"/>
      <c r="E40" s="39"/>
      <c r="F40" s="39"/>
      <c r="G40" s="40" t="s">
        <v>48</v>
      </c>
      <c r="H40" s="42"/>
      <c r="I40" s="42">
        <v>200.0</v>
      </c>
      <c r="J40" s="39"/>
      <c r="K40" s="39"/>
      <c r="L40" s="39"/>
      <c r="M40" s="39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51">
        <v>37.0</v>
      </c>
      <c r="B41" s="37" t="s">
        <v>247</v>
      </c>
      <c r="C41" s="38" t="s">
        <v>248</v>
      </c>
      <c r="D41" s="39"/>
      <c r="E41" s="39"/>
      <c r="F41" s="39"/>
      <c r="G41" s="40" t="s">
        <v>48</v>
      </c>
      <c r="H41" s="56">
        <v>45942.0</v>
      </c>
      <c r="I41" s="42">
        <v>200.0</v>
      </c>
      <c r="J41" s="47"/>
      <c r="K41" s="38"/>
      <c r="L41" s="47">
        <v>45942.0</v>
      </c>
      <c r="M41" s="38">
        <v>100.0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37">
        <v>38.0</v>
      </c>
      <c r="B42" s="36" t="s">
        <v>250</v>
      </c>
      <c r="C42" s="38" t="s">
        <v>251</v>
      </c>
      <c r="D42" s="38" t="s">
        <v>252</v>
      </c>
      <c r="E42" s="38" t="s">
        <v>253</v>
      </c>
      <c r="F42" s="47">
        <v>29487.0</v>
      </c>
      <c r="G42" s="40" t="s">
        <v>48</v>
      </c>
      <c r="H42" s="42"/>
      <c r="I42" s="42">
        <v>200.0</v>
      </c>
      <c r="J42" s="39"/>
      <c r="K42" s="39"/>
      <c r="L42" s="39"/>
      <c r="M42" s="3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51">
        <v>39.0</v>
      </c>
      <c r="B43" s="37" t="s">
        <v>255</v>
      </c>
      <c r="C43" s="38" t="s">
        <v>256</v>
      </c>
      <c r="D43" s="39"/>
      <c r="E43" s="39"/>
      <c r="F43" s="39"/>
      <c r="G43" s="40" t="s">
        <v>48</v>
      </c>
      <c r="H43" s="42"/>
      <c r="I43" s="42">
        <v>200.0</v>
      </c>
      <c r="J43" s="39"/>
      <c r="K43" s="39"/>
      <c r="L43" s="39"/>
      <c r="M43" s="3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37">
        <v>40.0</v>
      </c>
      <c r="B44" s="37" t="s">
        <v>257</v>
      </c>
      <c r="C44" s="38" t="s">
        <v>258</v>
      </c>
      <c r="D44" s="39"/>
      <c r="E44" s="39"/>
      <c r="F44" s="39"/>
      <c r="G44" s="40" t="s">
        <v>48</v>
      </c>
      <c r="H44" s="42"/>
      <c r="I44" s="42">
        <v>200.0</v>
      </c>
      <c r="J44" s="47">
        <v>46187.0</v>
      </c>
      <c r="K44" s="38">
        <v>200.0</v>
      </c>
      <c r="L44" s="39"/>
      <c r="M44" s="3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51">
        <v>41.0</v>
      </c>
      <c r="B45" s="36" t="s">
        <v>259</v>
      </c>
      <c r="C45" s="38" t="s">
        <v>260</v>
      </c>
      <c r="D45" s="38" t="s">
        <v>261</v>
      </c>
      <c r="E45" s="38" t="s">
        <v>253</v>
      </c>
      <c r="F45" s="39"/>
      <c r="G45" s="64" t="s">
        <v>48</v>
      </c>
      <c r="H45" s="42"/>
      <c r="I45" s="42">
        <v>200.0</v>
      </c>
      <c r="J45" s="39"/>
      <c r="K45" s="39"/>
      <c r="L45" s="39"/>
      <c r="M45" s="3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37">
        <v>42.0</v>
      </c>
      <c r="B46" s="37" t="s">
        <v>262</v>
      </c>
      <c r="C46" s="38" t="s">
        <v>263</v>
      </c>
      <c r="D46" s="38" t="s">
        <v>165</v>
      </c>
      <c r="E46" s="39"/>
      <c r="F46" s="39"/>
      <c r="G46" s="40" t="s">
        <v>48</v>
      </c>
      <c r="H46" s="42"/>
      <c r="I46" s="42">
        <v>200.0</v>
      </c>
      <c r="J46" s="39"/>
      <c r="K46" s="39"/>
      <c r="L46" s="39"/>
      <c r="M46" s="3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51">
        <v>43.0</v>
      </c>
      <c r="B47" s="37" t="s">
        <v>264</v>
      </c>
      <c r="C47" s="38" t="s">
        <v>132</v>
      </c>
      <c r="D47" s="39"/>
      <c r="E47" s="39"/>
      <c r="F47" s="39"/>
      <c r="G47" s="40" t="s">
        <v>48</v>
      </c>
      <c r="H47" s="42"/>
      <c r="I47" s="42">
        <v>200.0</v>
      </c>
      <c r="J47" s="39"/>
      <c r="K47" s="39"/>
      <c r="L47" s="39"/>
      <c r="M47" s="39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37">
        <v>44.0</v>
      </c>
      <c r="B48" s="37" t="s">
        <v>265</v>
      </c>
      <c r="C48" s="37" t="s">
        <v>266</v>
      </c>
      <c r="D48" s="28"/>
      <c r="E48" s="28"/>
      <c r="F48" s="28"/>
      <c r="G48" s="40" t="s">
        <v>48</v>
      </c>
      <c r="H48" s="28"/>
      <c r="I48" s="28"/>
      <c r="J48" s="47">
        <v>46187.0</v>
      </c>
      <c r="K48" s="38">
        <v>200.0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51">
        <v>45.0</v>
      </c>
      <c r="B49" s="37" t="s">
        <v>267</v>
      </c>
      <c r="C49" s="38" t="s">
        <v>268</v>
      </c>
      <c r="D49" s="39"/>
      <c r="E49" s="39"/>
      <c r="F49" s="39"/>
      <c r="G49" s="40" t="s">
        <v>48</v>
      </c>
      <c r="H49" s="42"/>
      <c r="I49" s="42">
        <v>200.0</v>
      </c>
      <c r="J49" s="47">
        <v>46187.0</v>
      </c>
      <c r="K49" s="38">
        <v>200.0</v>
      </c>
      <c r="L49" s="39"/>
      <c r="M49" s="3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37">
        <v>46.0</v>
      </c>
      <c r="B50" s="37" t="s">
        <v>267</v>
      </c>
      <c r="C50" s="38" t="s">
        <v>269</v>
      </c>
      <c r="D50" s="39"/>
      <c r="E50" s="39"/>
      <c r="F50" s="39"/>
      <c r="G50" s="40" t="s">
        <v>48</v>
      </c>
      <c r="H50" s="42"/>
      <c r="I50" s="42">
        <v>200.0</v>
      </c>
      <c r="J50" s="47">
        <v>46187.0</v>
      </c>
      <c r="K50" s="38">
        <v>200.0</v>
      </c>
      <c r="L50" s="39"/>
      <c r="M50" s="3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51">
        <v>47.0</v>
      </c>
      <c r="B51" s="37" t="s">
        <v>267</v>
      </c>
      <c r="C51" s="37" t="s">
        <v>277</v>
      </c>
      <c r="D51" s="28"/>
      <c r="E51" s="28"/>
      <c r="F51" s="28"/>
      <c r="G51" s="40" t="s">
        <v>48</v>
      </c>
      <c r="H51" s="28"/>
      <c r="I51" s="28"/>
      <c r="J51" s="47">
        <v>46215.0</v>
      </c>
      <c r="K51" s="38">
        <v>200.0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37">
        <v>48.0</v>
      </c>
      <c r="B52" s="37" t="s">
        <v>280</v>
      </c>
      <c r="C52" s="37" t="s">
        <v>281</v>
      </c>
      <c r="D52" s="28"/>
      <c r="E52" s="28"/>
      <c r="F52" s="28"/>
      <c r="G52" s="40" t="s">
        <v>48</v>
      </c>
      <c r="H52" s="28"/>
      <c r="I52" s="28"/>
      <c r="J52" s="47">
        <v>46215.0</v>
      </c>
      <c r="K52" s="38">
        <v>200.0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39"/>
      <c r="AB52" s="39"/>
      <c r="AC52" s="39"/>
    </row>
    <row r="53">
      <c r="A53" s="51">
        <v>49.0</v>
      </c>
      <c r="B53" s="38" t="s">
        <v>270</v>
      </c>
      <c r="C53" s="38" t="s">
        <v>271</v>
      </c>
      <c r="D53" s="39"/>
      <c r="E53" s="39"/>
      <c r="F53" s="39"/>
      <c r="G53" s="40" t="s">
        <v>48</v>
      </c>
      <c r="H53" s="42"/>
      <c r="I53" s="42">
        <v>200.0</v>
      </c>
      <c r="J53" s="39"/>
      <c r="K53" s="39"/>
      <c r="L53" s="39"/>
      <c r="M53" s="3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37">
        <v>50.0</v>
      </c>
      <c r="B54" s="37" t="s">
        <v>282</v>
      </c>
      <c r="C54" s="38" t="s">
        <v>283</v>
      </c>
      <c r="D54" s="38"/>
      <c r="E54" s="39"/>
      <c r="F54" s="39"/>
      <c r="G54" s="40" t="s">
        <v>48</v>
      </c>
      <c r="H54" s="42"/>
      <c r="I54" s="42"/>
      <c r="J54" s="47">
        <v>46187.0</v>
      </c>
      <c r="K54" s="38">
        <v>200.0</v>
      </c>
      <c r="L54" s="39"/>
      <c r="M54" s="39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51">
        <v>51.0</v>
      </c>
      <c r="B55" s="36" t="s">
        <v>272</v>
      </c>
      <c r="C55" s="38" t="s">
        <v>273</v>
      </c>
      <c r="D55" s="38" t="s">
        <v>274</v>
      </c>
      <c r="E55" s="39"/>
      <c r="F55" s="39"/>
      <c r="G55" s="40" t="s">
        <v>48</v>
      </c>
      <c r="H55" s="42"/>
      <c r="I55" s="42">
        <v>200.0</v>
      </c>
      <c r="J55" s="47">
        <v>46187.0</v>
      </c>
      <c r="K55" s="38">
        <v>200.0</v>
      </c>
      <c r="L55" s="39"/>
      <c r="M55" s="39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37">
        <v>52.0</v>
      </c>
      <c r="B56" s="37" t="s">
        <v>275</v>
      </c>
      <c r="C56" s="38" t="s">
        <v>169</v>
      </c>
      <c r="D56" s="38" t="s">
        <v>276</v>
      </c>
      <c r="E56" s="39"/>
      <c r="F56" s="39"/>
      <c r="G56" s="40" t="s">
        <v>48</v>
      </c>
      <c r="H56" s="42"/>
      <c r="I56" s="42">
        <v>200.0</v>
      </c>
      <c r="J56" s="47">
        <v>46187.0</v>
      </c>
      <c r="K56" s="38">
        <v>200.0</v>
      </c>
      <c r="L56" s="39"/>
      <c r="M56" s="39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</sheetData>
  <autoFilter ref="$A$4:$Z$228">
    <sortState ref="A4:Z228">
      <sortCondition ref="B4:B228"/>
    </sortState>
  </autoFilter>
  <mergeCells count="12">
    <mergeCell ref="G2:G3"/>
    <mergeCell ref="H2:I2"/>
    <mergeCell ref="J2:K2"/>
    <mergeCell ref="L2:M2"/>
    <mergeCell ref="A1:AC1"/>
    <mergeCell ref="A2:A3"/>
    <mergeCell ref="B2:B3"/>
    <mergeCell ref="C2:C3"/>
    <mergeCell ref="D2:D3"/>
    <mergeCell ref="E2:E3"/>
    <mergeCell ref="F2:F3"/>
    <mergeCell ref="N2:O2"/>
  </mergeCells>
  <dataValidations>
    <dataValidation type="list" allowBlank="1" showErrorMessage="1" sqref="E20">
      <formula1>"Married,Single,Widowed"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7" width="0.38"/>
  </cols>
  <sheetData>
    <row r="1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12"/>
    </row>
    <row r="2">
      <c r="A2" s="14" t="s">
        <v>0</v>
      </c>
      <c r="B2" s="14" t="s">
        <v>2</v>
      </c>
      <c r="C2" s="14" t="s">
        <v>3</v>
      </c>
      <c r="D2" s="17" t="s">
        <v>4</v>
      </c>
      <c r="E2" s="17" t="s">
        <v>5</v>
      </c>
      <c r="F2" s="20" t="s">
        <v>14</v>
      </c>
      <c r="G2" s="17" t="s">
        <v>7</v>
      </c>
      <c r="H2" s="24" t="s">
        <v>13</v>
      </c>
      <c r="I2" s="12"/>
      <c r="J2" s="26" t="s">
        <v>19</v>
      </c>
      <c r="K2" s="12"/>
      <c r="L2" s="23" t="s">
        <v>18</v>
      </c>
      <c r="M2" s="12"/>
      <c r="N2" s="23" t="s">
        <v>20</v>
      </c>
      <c r="O2" s="1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0"/>
      <c r="B3" s="30"/>
      <c r="C3" s="30"/>
      <c r="D3" s="30"/>
      <c r="E3" s="30"/>
      <c r="F3" s="30"/>
      <c r="G3" s="30"/>
      <c r="H3" s="31" t="s">
        <v>31</v>
      </c>
      <c r="I3" s="31" t="s">
        <v>32</v>
      </c>
      <c r="J3" s="33" t="s">
        <v>9</v>
      </c>
      <c r="K3" s="33" t="s">
        <v>32</v>
      </c>
      <c r="L3" s="33" t="s">
        <v>9</v>
      </c>
      <c r="M3" s="33" t="s">
        <v>32</v>
      </c>
      <c r="N3" s="34" t="s">
        <v>11</v>
      </c>
      <c r="O3" s="33" t="s">
        <v>32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>
      <c r="A4" s="36"/>
      <c r="B4" s="37"/>
      <c r="C4" s="38"/>
      <c r="D4" s="39"/>
      <c r="E4" s="39"/>
      <c r="F4" s="39"/>
      <c r="G4" s="40"/>
      <c r="H4" s="41"/>
      <c r="I4" s="41"/>
      <c r="J4" s="39"/>
      <c r="K4" s="39"/>
      <c r="L4" s="39"/>
      <c r="M4" s="3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37">
        <v>1.0</v>
      </c>
      <c r="B5" s="37" t="s">
        <v>15</v>
      </c>
      <c r="C5" s="38" t="s">
        <v>16</v>
      </c>
      <c r="D5" s="39"/>
      <c r="E5" s="39"/>
      <c r="F5" s="39"/>
      <c r="G5" s="40">
        <v>9826.0</v>
      </c>
      <c r="H5" s="48">
        <v>45927.0</v>
      </c>
      <c r="I5" s="41">
        <v>200.0</v>
      </c>
      <c r="J5" s="47">
        <v>46187.0</v>
      </c>
      <c r="K5" s="38">
        <v>200.0</v>
      </c>
      <c r="L5" s="47">
        <v>45927.0</v>
      </c>
      <c r="M5" s="38">
        <v>100.0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37">
        <v>2.0</v>
      </c>
      <c r="B6" s="37" t="s">
        <v>21</v>
      </c>
      <c r="C6" s="38" t="s">
        <v>22</v>
      </c>
      <c r="D6" s="39"/>
      <c r="E6" s="39"/>
      <c r="F6" s="39"/>
      <c r="G6" s="40">
        <v>9826.0</v>
      </c>
      <c r="H6" s="48">
        <v>45927.0</v>
      </c>
      <c r="I6" s="41">
        <v>200.0</v>
      </c>
      <c r="J6" s="47">
        <v>46187.0</v>
      </c>
      <c r="K6" s="38">
        <v>200.0</v>
      </c>
      <c r="L6" s="47">
        <v>45927.0</v>
      </c>
      <c r="M6" s="38">
        <v>100.0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37">
        <v>3.0</v>
      </c>
      <c r="B7" s="37" t="s">
        <v>23</v>
      </c>
      <c r="C7" s="38" t="s">
        <v>24</v>
      </c>
      <c r="D7" s="39"/>
      <c r="E7" s="39"/>
      <c r="F7" s="39"/>
      <c r="G7" s="40">
        <v>9826.0</v>
      </c>
      <c r="H7" s="48">
        <v>45927.0</v>
      </c>
      <c r="I7" s="41">
        <v>200.0</v>
      </c>
      <c r="J7" s="47">
        <v>46187.0</v>
      </c>
      <c r="K7" s="38">
        <v>200.0</v>
      </c>
      <c r="L7" s="47">
        <v>45927.0</v>
      </c>
      <c r="M7" s="38">
        <v>100.0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37">
        <v>4.0</v>
      </c>
      <c r="B8" s="37" t="s">
        <v>25</v>
      </c>
      <c r="C8" s="38" t="s">
        <v>26</v>
      </c>
      <c r="D8" s="39"/>
      <c r="E8" s="39"/>
      <c r="F8" s="39"/>
      <c r="G8" s="40">
        <v>9826.0</v>
      </c>
      <c r="H8" s="48">
        <v>45927.0</v>
      </c>
      <c r="I8" s="41">
        <v>200.0</v>
      </c>
      <c r="J8" s="47">
        <v>46187.0</v>
      </c>
      <c r="K8" s="38">
        <v>200.0</v>
      </c>
      <c r="L8" s="47">
        <v>45927.0</v>
      </c>
      <c r="M8" s="38">
        <v>100.0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37">
        <v>5.0</v>
      </c>
      <c r="B9" s="37" t="s">
        <v>27</v>
      </c>
      <c r="C9" s="38" t="s">
        <v>28</v>
      </c>
      <c r="D9" s="39"/>
      <c r="E9" s="39"/>
      <c r="F9" s="39"/>
      <c r="G9" s="40">
        <v>9826.0</v>
      </c>
      <c r="H9" s="48">
        <v>45927.0</v>
      </c>
      <c r="I9" s="41">
        <v>200.0</v>
      </c>
      <c r="J9" s="47">
        <v>46187.0</v>
      </c>
      <c r="K9" s="38">
        <v>200.0</v>
      </c>
      <c r="L9" s="47">
        <v>45927.0</v>
      </c>
      <c r="M9" s="38">
        <v>100.0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37">
        <v>6.0</v>
      </c>
      <c r="B10" s="37" t="s">
        <v>29</v>
      </c>
      <c r="C10" s="38" t="s">
        <v>30</v>
      </c>
      <c r="D10" s="39"/>
      <c r="E10" s="39"/>
      <c r="F10" s="39"/>
      <c r="G10" s="40">
        <v>9826.0</v>
      </c>
      <c r="H10" s="48">
        <v>45927.0</v>
      </c>
      <c r="I10" s="41">
        <v>200.0</v>
      </c>
      <c r="J10" s="47">
        <v>46187.0</v>
      </c>
      <c r="K10" s="38">
        <v>200.0</v>
      </c>
      <c r="L10" s="47">
        <v>45927.0</v>
      </c>
      <c r="M10" s="38">
        <v>100.0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37">
        <v>7.0</v>
      </c>
      <c r="B11" s="37" t="s">
        <v>25</v>
      </c>
      <c r="C11" s="38" t="s">
        <v>33</v>
      </c>
      <c r="D11" s="39"/>
      <c r="E11" s="39"/>
      <c r="F11" s="39"/>
      <c r="G11" s="40">
        <v>9826.0</v>
      </c>
      <c r="H11" s="48">
        <v>45927.0</v>
      </c>
      <c r="I11" s="41">
        <v>200.0</v>
      </c>
      <c r="J11" s="47">
        <v>46187.0</v>
      </c>
      <c r="K11" s="38">
        <v>200.0</v>
      </c>
      <c r="L11" s="47">
        <v>45927.0</v>
      </c>
      <c r="M11" s="38">
        <v>100.0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37">
        <v>8.0</v>
      </c>
      <c r="B12" s="37" t="s">
        <v>34</v>
      </c>
      <c r="C12" s="38" t="s">
        <v>35</v>
      </c>
      <c r="D12" s="39"/>
      <c r="E12" s="39"/>
      <c r="F12" s="39"/>
      <c r="G12" s="40">
        <v>9826.0</v>
      </c>
      <c r="H12" s="57">
        <v>45956.0</v>
      </c>
      <c r="I12" s="41">
        <v>200.0</v>
      </c>
      <c r="J12" s="47">
        <v>46187.0</v>
      </c>
      <c r="K12" s="38">
        <v>200.0</v>
      </c>
      <c r="L12" s="59">
        <v>45956.0</v>
      </c>
      <c r="M12" s="38">
        <v>100.0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37">
        <v>9.0</v>
      </c>
      <c r="B13" s="37" t="s">
        <v>25</v>
      </c>
      <c r="C13" s="38" t="s">
        <v>36</v>
      </c>
      <c r="D13" s="39"/>
      <c r="E13" s="39"/>
      <c r="F13" s="39"/>
      <c r="G13" s="40">
        <v>9826.0</v>
      </c>
      <c r="H13" s="57">
        <v>45956.0</v>
      </c>
      <c r="I13" s="41">
        <v>200.0</v>
      </c>
      <c r="J13" s="47">
        <v>46187.0</v>
      </c>
      <c r="K13" s="38">
        <v>200.0</v>
      </c>
      <c r="L13" s="59">
        <v>45956.0</v>
      </c>
      <c r="M13" s="38">
        <v>100.0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37">
        <v>10.0</v>
      </c>
      <c r="B14" s="37" t="s">
        <v>37</v>
      </c>
      <c r="C14" s="38" t="s">
        <v>38</v>
      </c>
      <c r="D14" s="39"/>
      <c r="E14" s="39"/>
      <c r="F14" s="39"/>
      <c r="G14" s="40">
        <v>9826.0</v>
      </c>
      <c r="H14" s="57">
        <v>45956.0</v>
      </c>
      <c r="I14" s="41">
        <v>200.0</v>
      </c>
      <c r="J14" s="47">
        <v>46187.0</v>
      </c>
      <c r="K14" s="38">
        <v>200.0</v>
      </c>
      <c r="L14" s="59">
        <v>45956.0</v>
      </c>
      <c r="M14" s="38">
        <v>100.0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51"/>
      <c r="B15" s="37"/>
      <c r="C15" s="38"/>
      <c r="D15" s="39"/>
      <c r="E15" s="39"/>
      <c r="F15" s="39"/>
      <c r="G15" s="40"/>
      <c r="H15" s="48"/>
      <c r="I15" s="41"/>
      <c r="J15" s="47"/>
      <c r="K15" s="38"/>
      <c r="L15" s="47"/>
      <c r="M15" s="3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37"/>
      <c r="B16" s="37"/>
      <c r="C16" s="38"/>
      <c r="D16" s="38"/>
      <c r="E16" s="39"/>
      <c r="F16" s="39"/>
      <c r="G16" s="40"/>
      <c r="H16" s="41"/>
      <c r="I16" s="41"/>
      <c r="J16" s="39"/>
      <c r="K16" s="39"/>
      <c r="L16" s="39"/>
      <c r="M16" s="39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>
      <c r="A17" s="37"/>
      <c r="B17" s="37"/>
      <c r="C17" s="38"/>
      <c r="D17" s="39"/>
      <c r="E17" s="39"/>
      <c r="F17" s="39"/>
      <c r="G17" s="40"/>
      <c r="H17" s="48"/>
      <c r="I17" s="41"/>
      <c r="J17" s="47"/>
      <c r="K17" s="38"/>
      <c r="L17" s="47"/>
      <c r="M17" s="3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>
      <c r="A18" s="51"/>
      <c r="B18" s="37"/>
      <c r="C18" s="38"/>
      <c r="D18" s="39"/>
      <c r="E18" s="39"/>
      <c r="F18" s="39"/>
      <c r="G18" s="40"/>
      <c r="H18" s="48"/>
      <c r="I18" s="41"/>
      <c r="J18" s="47"/>
      <c r="K18" s="38"/>
      <c r="L18" s="47"/>
      <c r="M18" s="3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>
      <c r="A19" s="37"/>
      <c r="B19" s="37"/>
      <c r="C19" s="38"/>
      <c r="D19" s="39"/>
      <c r="E19" s="39"/>
      <c r="F19" s="39"/>
      <c r="G19" s="40"/>
      <c r="H19" s="48"/>
      <c r="I19" s="41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>
      <c r="A20" s="51"/>
      <c r="B20" s="37"/>
      <c r="C20" s="38"/>
      <c r="D20" s="38"/>
      <c r="E20" s="39"/>
      <c r="F20" s="39"/>
      <c r="G20" s="40"/>
      <c r="H20" s="41"/>
      <c r="I20" s="41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37"/>
      <c r="B21" s="37"/>
      <c r="C21" s="38"/>
      <c r="D21" s="39"/>
      <c r="E21" s="39"/>
      <c r="F21" s="39"/>
      <c r="G21" s="40"/>
      <c r="H21" s="48"/>
      <c r="I21" s="41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51"/>
      <c r="B22" s="37"/>
      <c r="C22" s="38"/>
      <c r="D22" s="39"/>
      <c r="E22" s="39"/>
      <c r="F22" s="39"/>
      <c r="G22" s="40"/>
      <c r="H22" s="48"/>
      <c r="I22" s="41"/>
      <c r="J22" s="47"/>
      <c r="K22" s="38"/>
      <c r="L22" s="47"/>
      <c r="M22" s="3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7"/>
      <c r="B23" s="37"/>
      <c r="C23" s="38"/>
      <c r="D23" s="39"/>
      <c r="E23" s="39"/>
      <c r="F23" s="39"/>
      <c r="G23" s="40"/>
      <c r="H23" s="48"/>
      <c r="I23" s="41"/>
      <c r="J23" s="47"/>
      <c r="K23" s="38"/>
      <c r="L23" s="47"/>
      <c r="M23" s="3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37"/>
      <c r="B24" s="37"/>
      <c r="C24" s="38"/>
      <c r="D24" s="38"/>
      <c r="E24" s="39"/>
      <c r="F24" s="39"/>
      <c r="G24" s="40"/>
      <c r="H24" s="41"/>
      <c r="I24" s="41"/>
      <c r="J24" s="39"/>
      <c r="K24" s="39"/>
      <c r="L24" s="39"/>
      <c r="M24" s="3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37"/>
      <c r="B25" s="37"/>
      <c r="C25" s="38"/>
      <c r="D25" s="39"/>
      <c r="E25" s="39"/>
      <c r="F25" s="39"/>
      <c r="G25" s="40"/>
      <c r="H25" s="41"/>
      <c r="I25" s="41"/>
      <c r="J25" s="39"/>
      <c r="K25" s="39"/>
      <c r="L25" s="39"/>
      <c r="M25" s="3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51"/>
      <c r="B26" s="37"/>
      <c r="C26" s="38"/>
      <c r="D26" s="38"/>
      <c r="E26" s="39"/>
      <c r="F26" s="39"/>
      <c r="G26" s="40"/>
      <c r="H26" s="41"/>
      <c r="I26" s="41"/>
      <c r="J26" s="39"/>
      <c r="K26" s="39"/>
      <c r="L26" s="39"/>
      <c r="M26" s="39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37"/>
      <c r="B27" s="37"/>
      <c r="C27" s="38"/>
      <c r="D27" s="39"/>
      <c r="E27" s="39"/>
      <c r="F27" s="39"/>
      <c r="G27" s="40"/>
      <c r="H27" s="41"/>
      <c r="I27" s="41"/>
      <c r="J27" s="47"/>
      <c r="K27" s="38"/>
      <c r="L27" s="47"/>
      <c r="M27" s="3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51"/>
      <c r="B28" s="37"/>
      <c r="C28" s="38"/>
      <c r="D28" s="38"/>
      <c r="E28" s="39"/>
      <c r="F28" s="39"/>
      <c r="G28" s="40"/>
      <c r="H28" s="41"/>
      <c r="I28" s="41"/>
      <c r="J28" s="39"/>
      <c r="K28" s="39"/>
      <c r="L28" s="39"/>
      <c r="M28" s="3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>
      <c r="A29" s="37"/>
      <c r="B29" s="37"/>
      <c r="C29" s="38"/>
      <c r="D29" s="39"/>
      <c r="E29" s="39"/>
      <c r="F29" s="39"/>
      <c r="G29" s="40"/>
      <c r="H29" s="48"/>
      <c r="I29" s="41"/>
      <c r="J29" s="47"/>
      <c r="K29" s="38"/>
      <c r="L29" s="47"/>
      <c r="M29" s="3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37"/>
      <c r="B30" s="60"/>
      <c r="C30" s="38"/>
      <c r="D30" s="40"/>
      <c r="E30" s="39"/>
      <c r="F30" s="39"/>
      <c r="G30" s="40"/>
      <c r="H30" s="48"/>
      <c r="I30" s="41"/>
      <c r="J30" s="39"/>
      <c r="K30" s="39"/>
      <c r="L30" s="39"/>
      <c r="M30" s="39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51"/>
      <c r="B31" s="37"/>
      <c r="C31" s="38"/>
      <c r="D31" s="39"/>
      <c r="E31" s="39"/>
      <c r="F31" s="39"/>
      <c r="G31" s="40"/>
      <c r="H31" s="41"/>
      <c r="I31" s="41"/>
      <c r="J31" s="39"/>
      <c r="K31" s="39"/>
      <c r="L31" s="39"/>
      <c r="M31" s="3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37"/>
      <c r="B32" s="37"/>
      <c r="C32" s="38"/>
      <c r="D32" s="39"/>
      <c r="E32" s="39"/>
      <c r="F32" s="39"/>
      <c r="G32" s="40"/>
      <c r="H32" s="41"/>
      <c r="I32" s="41"/>
      <c r="J32" s="39"/>
      <c r="K32" s="39"/>
      <c r="L32" s="39"/>
      <c r="M32" s="3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51"/>
      <c r="B33" s="37"/>
      <c r="C33" s="38"/>
      <c r="D33" s="39"/>
      <c r="E33" s="39"/>
      <c r="F33" s="39"/>
      <c r="G33" s="40"/>
      <c r="H33" s="41"/>
      <c r="I33" s="41"/>
      <c r="J33" s="39"/>
      <c r="K33" s="39"/>
      <c r="L33" s="39"/>
      <c r="M33" s="3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37"/>
      <c r="B34" s="37"/>
      <c r="C34" s="38"/>
      <c r="D34" s="39"/>
      <c r="E34" s="39"/>
      <c r="F34" s="39"/>
      <c r="G34" s="40"/>
      <c r="H34" s="48"/>
      <c r="I34" s="41"/>
      <c r="J34" s="47"/>
      <c r="K34" s="38"/>
      <c r="L34" s="47"/>
      <c r="M34" s="3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51"/>
      <c r="B35" s="36"/>
      <c r="C35" s="38"/>
      <c r="D35" s="38"/>
      <c r="E35" s="38"/>
      <c r="F35" s="47"/>
      <c r="G35" s="40"/>
      <c r="H35" s="41"/>
      <c r="I35" s="41"/>
      <c r="J35" s="47"/>
      <c r="K35" s="38"/>
      <c r="L35" s="47"/>
      <c r="M35" s="3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37"/>
      <c r="B36" s="37"/>
      <c r="C36" s="38"/>
      <c r="D36" s="39"/>
      <c r="E36" s="39"/>
      <c r="F36" s="39"/>
      <c r="G36" s="40"/>
      <c r="H36" s="48"/>
      <c r="I36" s="41"/>
      <c r="J36" s="47"/>
      <c r="K36" s="38"/>
      <c r="L36" s="47"/>
      <c r="M36" s="3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37"/>
      <c r="B37" s="37"/>
      <c r="C37" s="38"/>
      <c r="D37" s="39"/>
      <c r="E37" s="39"/>
      <c r="F37" s="39"/>
      <c r="G37" s="40"/>
      <c r="H37" s="48"/>
      <c r="I37" s="41"/>
      <c r="J37" s="47"/>
      <c r="K37" s="38"/>
      <c r="L37" s="47"/>
      <c r="M37" s="3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51"/>
      <c r="B38" s="37"/>
      <c r="C38" s="38"/>
      <c r="D38" s="39"/>
      <c r="E38" s="39"/>
      <c r="F38" s="39"/>
      <c r="G38" s="40"/>
      <c r="H38" s="48"/>
      <c r="I38" s="41"/>
      <c r="J38" s="47"/>
      <c r="K38" s="38"/>
      <c r="L38" s="47"/>
      <c r="M38" s="3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37"/>
      <c r="B39" s="37"/>
      <c r="C39" s="38"/>
      <c r="D39" s="39"/>
      <c r="E39" s="39"/>
      <c r="F39" s="39"/>
      <c r="G39" s="40"/>
      <c r="H39" s="48"/>
      <c r="I39" s="41"/>
      <c r="J39" s="47"/>
      <c r="K39" s="38"/>
      <c r="L39" s="47"/>
      <c r="M39" s="3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51"/>
      <c r="B40" s="37"/>
      <c r="C40" s="38"/>
      <c r="D40" s="39"/>
      <c r="E40" s="39"/>
      <c r="F40" s="39"/>
      <c r="G40" s="40"/>
      <c r="H40" s="41"/>
      <c r="I40" s="41"/>
      <c r="J40" s="39"/>
      <c r="K40" s="39"/>
      <c r="L40" s="39"/>
      <c r="M40" s="39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37"/>
      <c r="B41" s="37"/>
      <c r="C41" s="38"/>
      <c r="D41" s="39"/>
      <c r="E41" s="39"/>
      <c r="F41" s="39"/>
      <c r="G41" s="40"/>
      <c r="H41" s="48"/>
      <c r="I41" s="41"/>
      <c r="J41" s="47"/>
      <c r="K41" s="38"/>
      <c r="L41" s="47"/>
      <c r="M41" s="3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51"/>
      <c r="B42" s="36"/>
      <c r="C42" s="38"/>
      <c r="D42" s="38"/>
      <c r="E42" s="38"/>
      <c r="F42" s="47"/>
      <c r="G42" s="40"/>
      <c r="H42" s="41"/>
      <c r="I42" s="41"/>
      <c r="J42" s="39"/>
      <c r="K42" s="39"/>
      <c r="L42" s="39"/>
      <c r="M42" s="3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37"/>
      <c r="B43" s="37"/>
      <c r="C43" s="38"/>
      <c r="D43" s="39"/>
      <c r="E43" s="39"/>
      <c r="F43" s="39"/>
      <c r="G43" s="40"/>
      <c r="H43" s="41"/>
      <c r="I43" s="41"/>
      <c r="J43" s="39"/>
      <c r="K43" s="39"/>
      <c r="L43" s="39"/>
      <c r="M43" s="3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51"/>
      <c r="B44" s="37"/>
      <c r="C44" s="38"/>
      <c r="D44" s="39"/>
      <c r="E44" s="39"/>
      <c r="F44" s="39"/>
      <c r="G44" s="40"/>
      <c r="H44" s="41"/>
      <c r="I44" s="41"/>
      <c r="J44" s="47"/>
      <c r="K44" s="38"/>
      <c r="L44" s="39"/>
      <c r="M44" s="3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37"/>
      <c r="B45" s="36"/>
      <c r="C45" s="38"/>
      <c r="D45" s="38"/>
      <c r="E45" s="38"/>
      <c r="F45" s="39"/>
      <c r="G45" s="64"/>
      <c r="H45" s="41"/>
      <c r="I45" s="41"/>
      <c r="J45" s="39"/>
      <c r="K45" s="39"/>
      <c r="L45" s="39"/>
      <c r="M45" s="3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51"/>
      <c r="B46" s="37"/>
      <c r="C46" s="38"/>
      <c r="D46" s="38"/>
      <c r="E46" s="39"/>
      <c r="F46" s="39"/>
      <c r="G46" s="40"/>
      <c r="H46" s="41"/>
      <c r="I46" s="41"/>
      <c r="J46" s="39"/>
      <c r="K46" s="39"/>
      <c r="L46" s="39"/>
      <c r="M46" s="3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37"/>
      <c r="B47" s="37"/>
      <c r="C47" s="38"/>
      <c r="D47" s="39"/>
      <c r="E47" s="39"/>
      <c r="F47" s="39"/>
      <c r="G47" s="40"/>
      <c r="H47" s="41"/>
      <c r="I47" s="41"/>
      <c r="J47" s="39"/>
      <c r="K47" s="39"/>
      <c r="L47" s="39"/>
      <c r="M47" s="39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37"/>
      <c r="B48" s="37"/>
      <c r="C48" s="38"/>
      <c r="D48" s="39"/>
      <c r="E48" s="39"/>
      <c r="F48" s="39"/>
      <c r="G48" s="40"/>
      <c r="H48" s="48"/>
      <c r="I48" s="41"/>
      <c r="J48" s="47"/>
      <c r="K48" s="38"/>
      <c r="L48" s="47"/>
      <c r="M48" s="3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51"/>
      <c r="B49" s="37"/>
      <c r="C49" s="38"/>
      <c r="D49" s="39"/>
      <c r="E49" s="39"/>
      <c r="F49" s="39"/>
      <c r="G49" s="40"/>
      <c r="H49" s="41"/>
      <c r="I49" s="41"/>
      <c r="J49" s="47"/>
      <c r="K49" s="38"/>
      <c r="L49" s="39"/>
      <c r="M49" s="3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37"/>
      <c r="B50" s="37"/>
      <c r="C50" s="38"/>
      <c r="D50" s="39"/>
      <c r="E50" s="39"/>
      <c r="F50" s="39"/>
      <c r="G50" s="40"/>
      <c r="H50" s="41"/>
      <c r="I50" s="41"/>
      <c r="J50" s="47"/>
      <c r="K50" s="38"/>
      <c r="L50" s="39"/>
      <c r="M50" s="3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51"/>
      <c r="B51" s="38"/>
      <c r="C51" s="38"/>
      <c r="D51" s="39"/>
      <c r="E51" s="39"/>
      <c r="F51" s="39"/>
      <c r="G51" s="40"/>
      <c r="H51" s="41"/>
      <c r="I51" s="41"/>
      <c r="J51" s="39"/>
      <c r="K51" s="39"/>
      <c r="L51" s="39"/>
      <c r="M51" s="39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37"/>
      <c r="B52" s="36"/>
      <c r="C52" s="38"/>
      <c r="D52" s="38"/>
      <c r="E52" s="39"/>
      <c r="F52" s="39"/>
      <c r="G52" s="40"/>
      <c r="H52" s="41"/>
      <c r="I52" s="41"/>
      <c r="J52" s="47"/>
      <c r="K52" s="38"/>
      <c r="L52" s="39"/>
      <c r="M52" s="39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>
      <c r="A53" s="51"/>
      <c r="B53" s="37"/>
      <c r="C53" s="38"/>
      <c r="D53" s="38"/>
      <c r="E53" s="39"/>
      <c r="F53" s="39"/>
      <c r="G53" s="40"/>
      <c r="H53" s="41"/>
      <c r="I53" s="41"/>
      <c r="J53" s="47"/>
      <c r="K53" s="38"/>
      <c r="L53" s="39"/>
      <c r="M53" s="3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37"/>
      <c r="B54" s="37"/>
      <c r="C54" s="37"/>
      <c r="D54" s="28"/>
      <c r="E54" s="28"/>
      <c r="F54" s="28"/>
      <c r="G54" s="40"/>
      <c r="H54" s="66"/>
      <c r="I54" s="66"/>
      <c r="J54" s="47"/>
      <c r="K54" s="3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37"/>
      <c r="B55" s="37"/>
      <c r="C55" s="37"/>
      <c r="D55" s="28"/>
      <c r="E55" s="28"/>
      <c r="F55" s="28"/>
      <c r="G55" s="40"/>
      <c r="H55" s="66"/>
      <c r="I55" s="66"/>
      <c r="J55" s="47"/>
      <c r="K55" s="3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28"/>
      <c r="B56" s="28"/>
      <c r="C56" s="28"/>
      <c r="D56" s="28"/>
      <c r="E56" s="28"/>
      <c r="F56" s="28"/>
      <c r="G56" s="28"/>
      <c r="H56" s="66"/>
      <c r="I56" s="66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28"/>
      <c r="B57" s="28"/>
      <c r="C57" s="28"/>
      <c r="D57" s="28"/>
      <c r="E57" s="28"/>
      <c r="F57" s="28"/>
      <c r="G57" s="28"/>
      <c r="H57" s="66"/>
      <c r="I57" s="66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28"/>
      <c r="B58" s="28"/>
      <c r="C58" s="28"/>
      <c r="D58" s="28"/>
      <c r="E58" s="28"/>
      <c r="F58" s="28"/>
      <c r="G58" s="28"/>
      <c r="H58" s="66"/>
      <c r="I58" s="66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28"/>
      <c r="B59" s="28"/>
      <c r="C59" s="28"/>
      <c r="D59" s="28"/>
      <c r="E59" s="28"/>
      <c r="F59" s="28"/>
      <c r="G59" s="28"/>
      <c r="H59" s="66"/>
      <c r="I59" s="66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28"/>
      <c r="B60" s="28"/>
      <c r="C60" s="28"/>
      <c r="D60" s="28"/>
      <c r="E60" s="28"/>
      <c r="F60" s="28"/>
      <c r="G60" s="28"/>
      <c r="H60" s="66"/>
      <c r="I60" s="66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28"/>
      <c r="B61" s="28"/>
      <c r="C61" s="28"/>
      <c r="D61" s="28"/>
      <c r="E61" s="28"/>
      <c r="F61" s="28"/>
      <c r="G61" s="28"/>
      <c r="H61" s="66"/>
      <c r="I61" s="66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28"/>
      <c r="B62" s="28"/>
      <c r="C62" s="28"/>
      <c r="D62" s="28"/>
      <c r="E62" s="28"/>
      <c r="F62" s="28"/>
      <c r="G62" s="28"/>
      <c r="H62" s="66"/>
      <c r="I62" s="66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28"/>
      <c r="B63" s="28"/>
      <c r="C63" s="28"/>
      <c r="D63" s="28"/>
      <c r="E63" s="28"/>
      <c r="F63" s="28"/>
      <c r="G63" s="28"/>
      <c r="H63" s="66"/>
      <c r="I63" s="66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28"/>
      <c r="B64" s="28"/>
      <c r="C64" s="28"/>
      <c r="D64" s="28"/>
      <c r="E64" s="28"/>
      <c r="F64" s="28"/>
      <c r="G64" s="28"/>
      <c r="H64" s="66"/>
      <c r="I64" s="66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28"/>
      <c r="B65" s="28"/>
      <c r="C65" s="28"/>
      <c r="D65" s="28"/>
      <c r="E65" s="28"/>
      <c r="F65" s="28"/>
      <c r="G65" s="28"/>
      <c r="H65" s="66"/>
      <c r="I65" s="66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28"/>
      <c r="B66" s="28"/>
      <c r="C66" s="28"/>
      <c r="D66" s="28"/>
      <c r="E66" s="28"/>
      <c r="F66" s="28"/>
      <c r="G66" s="28"/>
      <c r="H66" s="66"/>
      <c r="I66" s="66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28"/>
      <c r="B67" s="28"/>
      <c r="C67" s="28"/>
      <c r="D67" s="28"/>
      <c r="E67" s="28"/>
      <c r="F67" s="28"/>
      <c r="G67" s="28"/>
      <c r="H67" s="66"/>
      <c r="I67" s="66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28"/>
      <c r="B68" s="28"/>
      <c r="C68" s="28"/>
      <c r="D68" s="28"/>
      <c r="E68" s="28"/>
      <c r="F68" s="28"/>
      <c r="G68" s="28"/>
      <c r="H68" s="66"/>
      <c r="I68" s="66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28"/>
      <c r="B69" s="28"/>
      <c r="C69" s="28"/>
      <c r="D69" s="28"/>
      <c r="E69" s="28"/>
      <c r="F69" s="28"/>
      <c r="G69" s="28"/>
      <c r="H69" s="66"/>
      <c r="I69" s="66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28"/>
      <c r="B70" s="28"/>
      <c r="C70" s="28"/>
      <c r="D70" s="28"/>
      <c r="E70" s="28"/>
      <c r="F70" s="28"/>
      <c r="G70" s="28"/>
      <c r="H70" s="66"/>
      <c r="I70" s="66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28"/>
      <c r="B71" s="28"/>
      <c r="C71" s="28"/>
      <c r="D71" s="28"/>
      <c r="E71" s="28"/>
      <c r="F71" s="28"/>
      <c r="G71" s="28"/>
      <c r="H71" s="66"/>
      <c r="I71" s="66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28"/>
      <c r="B72" s="28"/>
      <c r="C72" s="28"/>
      <c r="D72" s="28"/>
      <c r="E72" s="28"/>
      <c r="F72" s="28"/>
      <c r="G72" s="28"/>
      <c r="H72" s="66"/>
      <c r="I72" s="66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28"/>
      <c r="B73" s="28"/>
      <c r="C73" s="28"/>
      <c r="D73" s="28"/>
      <c r="E73" s="28"/>
      <c r="F73" s="28"/>
      <c r="G73" s="28"/>
      <c r="H73" s="66"/>
      <c r="I73" s="66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28"/>
      <c r="B74" s="28"/>
      <c r="C74" s="28"/>
      <c r="D74" s="28"/>
      <c r="E74" s="28"/>
      <c r="F74" s="28"/>
      <c r="G74" s="28"/>
      <c r="H74" s="66"/>
      <c r="I74" s="66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28"/>
      <c r="B75" s="28"/>
      <c r="C75" s="28"/>
      <c r="D75" s="28"/>
      <c r="E75" s="28"/>
      <c r="F75" s="28"/>
      <c r="G75" s="28"/>
      <c r="H75" s="66"/>
      <c r="I75" s="66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28"/>
      <c r="B76" s="28"/>
      <c r="C76" s="28"/>
      <c r="D76" s="28"/>
      <c r="E76" s="28"/>
      <c r="F76" s="28"/>
      <c r="G76" s="28"/>
      <c r="H76" s="66"/>
      <c r="I76" s="66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28"/>
      <c r="B77" s="28"/>
      <c r="C77" s="28"/>
      <c r="D77" s="28"/>
      <c r="E77" s="28"/>
      <c r="F77" s="28"/>
      <c r="G77" s="28"/>
      <c r="H77" s="66"/>
      <c r="I77" s="66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28"/>
      <c r="B78" s="28"/>
      <c r="C78" s="28"/>
      <c r="D78" s="28"/>
      <c r="E78" s="28"/>
      <c r="F78" s="28"/>
      <c r="G78" s="28"/>
      <c r="H78" s="66"/>
      <c r="I78" s="66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28"/>
      <c r="B79" s="28"/>
      <c r="C79" s="28"/>
      <c r="D79" s="28"/>
      <c r="E79" s="28"/>
      <c r="F79" s="28"/>
      <c r="G79" s="28"/>
      <c r="H79" s="66"/>
      <c r="I79" s="66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28"/>
      <c r="B80" s="28"/>
      <c r="C80" s="28"/>
      <c r="D80" s="28"/>
      <c r="E80" s="28"/>
      <c r="F80" s="28"/>
      <c r="G80" s="28"/>
      <c r="H80" s="66"/>
      <c r="I80" s="66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28"/>
      <c r="B81" s="28"/>
      <c r="C81" s="28"/>
      <c r="D81" s="28"/>
      <c r="E81" s="28"/>
      <c r="F81" s="28"/>
      <c r="G81" s="28"/>
      <c r="H81" s="66"/>
      <c r="I81" s="66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28"/>
      <c r="B82" s="28"/>
      <c r="C82" s="28"/>
      <c r="D82" s="28"/>
      <c r="E82" s="28"/>
      <c r="F82" s="28"/>
      <c r="G82" s="28"/>
      <c r="H82" s="66"/>
      <c r="I82" s="66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28"/>
      <c r="B83" s="28"/>
      <c r="C83" s="28"/>
      <c r="D83" s="28"/>
      <c r="E83" s="28"/>
      <c r="F83" s="28"/>
      <c r="G83" s="28"/>
      <c r="H83" s="66"/>
      <c r="I83" s="66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28"/>
      <c r="B84" s="28"/>
      <c r="C84" s="28"/>
      <c r="D84" s="28"/>
      <c r="E84" s="28"/>
      <c r="F84" s="28"/>
      <c r="G84" s="28"/>
      <c r="H84" s="66"/>
      <c r="I84" s="66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28"/>
      <c r="B85" s="28"/>
      <c r="C85" s="28"/>
      <c r="D85" s="28"/>
      <c r="E85" s="28"/>
      <c r="F85" s="28"/>
      <c r="G85" s="28"/>
      <c r="H85" s="66"/>
      <c r="I85" s="66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28"/>
      <c r="B86" s="28"/>
      <c r="C86" s="28"/>
      <c r="D86" s="28"/>
      <c r="E86" s="28"/>
      <c r="F86" s="28"/>
      <c r="G86" s="28"/>
      <c r="H86" s="66"/>
      <c r="I86" s="66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28"/>
      <c r="B87" s="28"/>
      <c r="C87" s="28"/>
      <c r="D87" s="28"/>
      <c r="E87" s="28"/>
      <c r="F87" s="28"/>
      <c r="G87" s="28"/>
      <c r="H87" s="66"/>
      <c r="I87" s="66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28"/>
      <c r="B88" s="28"/>
      <c r="C88" s="28"/>
      <c r="D88" s="28"/>
      <c r="E88" s="28"/>
      <c r="F88" s="28"/>
      <c r="G88" s="28"/>
      <c r="H88" s="66"/>
      <c r="I88" s="66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28"/>
      <c r="B89" s="28"/>
      <c r="C89" s="28"/>
      <c r="D89" s="28"/>
      <c r="E89" s="28"/>
      <c r="F89" s="28"/>
      <c r="G89" s="28"/>
      <c r="H89" s="66"/>
      <c r="I89" s="66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28"/>
      <c r="B90" s="28"/>
      <c r="C90" s="28"/>
      <c r="D90" s="28"/>
      <c r="E90" s="28"/>
      <c r="F90" s="28"/>
      <c r="G90" s="28"/>
      <c r="H90" s="66"/>
      <c r="I90" s="6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28"/>
      <c r="B91" s="28"/>
      <c r="C91" s="28"/>
      <c r="D91" s="28"/>
      <c r="E91" s="28"/>
      <c r="F91" s="28"/>
      <c r="G91" s="28"/>
      <c r="H91" s="66"/>
      <c r="I91" s="6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28"/>
      <c r="B92" s="28"/>
      <c r="C92" s="28"/>
      <c r="D92" s="28"/>
      <c r="E92" s="28"/>
      <c r="F92" s="28"/>
      <c r="G92" s="28"/>
      <c r="H92" s="66"/>
      <c r="I92" s="66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28"/>
      <c r="B93" s="28"/>
      <c r="C93" s="28"/>
      <c r="D93" s="28"/>
      <c r="E93" s="28"/>
      <c r="F93" s="28"/>
      <c r="G93" s="28"/>
      <c r="H93" s="66"/>
      <c r="I93" s="66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28"/>
      <c r="B94" s="28"/>
      <c r="C94" s="28"/>
      <c r="D94" s="28"/>
      <c r="E94" s="28"/>
      <c r="F94" s="28"/>
      <c r="G94" s="28"/>
      <c r="H94" s="66"/>
      <c r="I94" s="66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28"/>
      <c r="B95" s="28"/>
      <c r="C95" s="28"/>
      <c r="D95" s="28"/>
      <c r="E95" s="28"/>
      <c r="F95" s="28"/>
      <c r="G95" s="28"/>
      <c r="H95" s="66"/>
      <c r="I95" s="66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28"/>
      <c r="B96" s="28"/>
      <c r="C96" s="28"/>
      <c r="D96" s="28"/>
      <c r="E96" s="28"/>
      <c r="F96" s="28"/>
      <c r="G96" s="28"/>
      <c r="H96" s="66"/>
      <c r="I96" s="66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28"/>
      <c r="B97" s="28"/>
      <c r="C97" s="28"/>
      <c r="D97" s="28"/>
      <c r="E97" s="28"/>
      <c r="F97" s="28"/>
      <c r="G97" s="28"/>
      <c r="H97" s="66"/>
      <c r="I97" s="66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28"/>
      <c r="B98" s="28"/>
      <c r="C98" s="28"/>
      <c r="D98" s="28"/>
      <c r="E98" s="28"/>
      <c r="F98" s="28"/>
      <c r="G98" s="28"/>
      <c r="H98" s="66"/>
      <c r="I98" s="66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28"/>
      <c r="B99" s="28"/>
      <c r="C99" s="28"/>
      <c r="D99" s="28"/>
      <c r="E99" s="28"/>
      <c r="F99" s="28"/>
      <c r="G99" s="28"/>
      <c r="H99" s="66"/>
      <c r="I99" s="66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28"/>
      <c r="B100" s="28"/>
      <c r="C100" s="28"/>
      <c r="D100" s="28"/>
      <c r="E100" s="28"/>
      <c r="F100" s="28"/>
      <c r="G100" s="28"/>
      <c r="H100" s="66"/>
      <c r="I100" s="66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28"/>
      <c r="B101" s="28"/>
      <c r="C101" s="28"/>
      <c r="D101" s="28"/>
      <c r="E101" s="28"/>
      <c r="F101" s="28"/>
      <c r="G101" s="28"/>
      <c r="H101" s="66"/>
      <c r="I101" s="66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28"/>
      <c r="B102" s="28"/>
      <c r="C102" s="28"/>
      <c r="D102" s="28"/>
      <c r="E102" s="28"/>
      <c r="F102" s="28"/>
      <c r="G102" s="28"/>
      <c r="H102" s="66"/>
      <c r="I102" s="66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28"/>
      <c r="B103" s="28"/>
      <c r="C103" s="28"/>
      <c r="D103" s="28"/>
      <c r="E103" s="28"/>
      <c r="F103" s="28"/>
      <c r="G103" s="28"/>
      <c r="H103" s="66"/>
      <c r="I103" s="66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28"/>
      <c r="B104" s="28"/>
      <c r="C104" s="28"/>
      <c r="D104" s="28"/>
      <c r="E104" s="28"/>
      <c r="F104" s="28"/>
      <c r="G104" s="28"/>
      <c r="H104" s="66"/>
      <c r="I104" s="66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28"/>
      <c r="B105" s="28"/>
      <c r="C105" s="28"/>
      <c r="D105" s="28"/>
      <c r="E105" s="28"/>
      <c r="F105" s="28"/>
      <c r="G105" s="28"/>
      <c r="H105" s="66"/>
      <c r="I105" s="66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28"/>
      <c r="B106" s="28"/>
      <c r="C106" s="28"/>
      <c r="D106" s="28"/>
      <c r="E106" s="28"/>
      <c r="F106" s="28"/>
      <c r="G106" s="28"/>
      <c r="H106" s="66"/>
      <c r="I106" s="66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28"/>
      <c r="B107" s="28"/>
      <c r="C107" s="28"/>
      <c r="D107" s="28"/>
      <c r="E107" s="28"/>
      <c r="F107" s="28"/>
      <c r="G107" s="28"/>
      <c r="H107" s="66"/>
      <c r="I107" s="66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28"/>
      <c r="B108" s="28"/>
      <c r="C108" s="28"/>
      <c r="D108" s="28"/>
      <c r="E108" s="28"/>
      <c r="F108" s="28"/>
      <c r="G108" s="28"/>
      <c r="H108" s="66"/>
      <c r="I108" s="66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28"/>
      <c r="B109" s="28"/>
      <c r="C109" s="28"/>
      <c r="D109" s="28"/>
      <c r="E109" s="28"/>
      <c r="F109" s="28"/>
      <c r="G109" s="28"/>
      <c r="H109" s="66"/>
      <c r="I109" s="66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28"/>
      <c r="B110" s="28"/>
      <c r="C110" s="28"/>
      <c r="D110" s="28"/>
      <c r="E110" s="28"/>
      <c r="F110" s="28"/>
      <c r="G110" s="28"/>
      <c r="H110" s="66"/>
      <c r="I110" s="66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66"/>
      <c r="I111" s="66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66"/>
      <c r="I112" s="66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66"/>
      <c r="I113" s="66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66"/>
      <c r="I114" s="66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66"/>
      <c r="I115" s="66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66"/>
      <c r="I116" s="66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66"/>
      <c r="I117" s="66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66"/>
      <c r="I118" s="6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66"/>
      <c r="I119" s="6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66"/>
      <c r="I120" s="6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66"/>
      <c r="I121" s="6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66"/>
      <c r="I122" s="6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66"/>
      <c r="I123" s="6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66"/>
      <c r="I124" s="6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66"/>
      <c r="I125" s="6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66"/>
      <c r="I126" s="6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66"/>
      <c r="I127" s="6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66"/>
      <c r="I128" s="6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66"/>
      <c r="I129" s="6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66"/>
      <c r="I130" s="6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66"/>
      <c r="I131" s="66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66"/>
      <c r="I132" s="66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66"/>
      <c r="I133" s="66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66"/>
      <c r="I134" s="66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66"/>
      <c r="I135" s="66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66"/>
      <c r="I136" s="66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66"/>
      <c r="I137" s="66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66"/>
      <c r="I138" s="66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66"/>
      <c r="I139" s="66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66"/>
      <c r="I140" s="66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66"/>
      <c r="I141" s="66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66"/>
      <c r="I142" s="66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66"/>
      <c r="I143" s="66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66"/>
      <c r="I144" s="66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66"/>
      <c r="I145" s="66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>
      <c r="A146" s="28"/>
      <c r="B146" s="28"/>
      <c r="C146" s="28"/>
      <c r="D146" s="28"/>
      <c r="E146" s="28"/>
      <c r="F146" s="28"/>
      <c r="G146" s="28"/>
      <c r="H146" s="66"/>
      <c r="I146" s="66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>
      <c r="A147" s="28"/>
      <c r="B147" s="28"/>
      <c r="C147" s="28"/>
      <c r="D147" s="28"/>
      <c r="E147" s="28"/>
      <c r="F147" s="28"/>
      <c r="G147" s="28"/>
      <c r="H147" s="66"/>
      <c r="I147" s="66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28"/>
      <c r="G148" s="28"/>
      <c r="H148" s="66"/>
      <c r="I148" s="66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28"/>
      <c r="G149" s="28"/>
      <c r="H149" s="66"/>
      <c r="I149" s="66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28"/>
      <c r="B150" s="28"/>
      <c r="C150" s="28"/>
      <c r="D150" s="28"/>
      <c r="E150" s="28"/>
      <c r="F150" s="28"/>
      <c r="G150" s="28"/>
      <c r="H150" s="66"/>
      <c r="I150" s="66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28"/>
      <c r="G151" s="28"/>
      <c r="H151" s="66"/>
      <c r="I151" s="66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28"/>
      <c r="G152" s="28"/>
      <c r="H152" s="66"/>
      <c r="I152" s="66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28"/>
      <c r="G153" s="28"/>
      <c r="H153" s="66"/>
      <c r="I153" s="66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28"/>
      <c r="G154" s="28"/>
      <c r="H154" s="66"/>
      <c r="I154" s="66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28"/>
      <c r="G155" s="28"/>
      <c r="H155" s="66"/>
      <c r="I155" s="66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28"/>
      <c r="G156" s="28"/>
      <c r="H156" s="66"/>
      <c r="I156" s="66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28"/>
      <c r="G157" s="28"/>
      <c r="H157" s="66"/>
      <c r="I157" s="66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28"/>
      <c r="G158" s="28"/>
      <c r="H158" s="66"/>
      <c r="I158" s="66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28"/>
      <c r="G159" s="28"/>
      <c r="H159" s="66"/>
      <c r="I159" s="66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28"/>
      <c r="G160" s="28"/>
      <c r="H160" s="66"/>
      <c r="I160" s="66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28"/>
      <c r="G161" s="28"/>
      <c r="H161" s="66"/>
      <c r="I161" s="66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28"/>
      <c r="G162" s="28"/>
      <c r="H162" s="66"/>
      <c r="I162" s="66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28"/>
      <c r="G163" s="28"/>
      <c r="H163" s="66"/>
      <c r="I163" s="66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28"/>
      <c r="G164" s="28"/>
      <c r="H164" s="66"/>
      <c r="I164" s="66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28"/>
      <c r="G165" s="28"/>
      <c r="H165" s="66"/>
      <c r="I165" s="66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28"/>
      <c r="G166" s="28"/>
      <c r="H166" s="66"/>
      <c r="I166" s="66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28"/>
      <c r="G167" s="28"/>
      <c r="H167" s="66"/>
      <c r="I167" s="66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28"/>
      <c r="G168" s="28"/>
      <c r="H168" s="66"/>
      <c r="I168" s="66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28"/>
      <c r="G169" s="28"/>
      <c r="H169" s="66"/>
      <c r="I169" s="66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28"/>
      <c r="G170" s="28"/>
      <c r="H170" s="66"/>
      <c r="I170" s="66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28"/>
      <c r="G171" s="28"/>
      <c r="H171" s="66"/>
      <c r="I171" s="66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28"/>
      <c r="G172" s="28"/>
      <c r="H172" s="66"/>
      <c r="I172" s="66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28"/>
      <c r="G173" s="28"/>
      <c r="H173" s="66"/>
      <c r="I173" s="66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28"/>
      <c r="G174" s="28"/>
      <c r="H174" s="66"/>
      <c r="I174" s="66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28"/>
      <c r="G175" s="28"/>
      <c r="H175" s="66"/>
      <c r="I175" s="66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28"/>
      <c r="G176" s="28"/>
      <c r="H176" s="66"/>
      <c r="I176" s="66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28"/>
      <c r="G177" s="28"/>
      <c r="H177" s="66"/>
      <c r="I177" s="66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28"/>
      <c r="G178" s="28"/>
      <c r="H178" s="66"/>
      <c r="I178" s="66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28"/>
      <c r="G179" s="28"/>
      <c r="H179" s="66"/>
      <c r="I179" s="66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28"/>
      <c r="G180" s="28"/>
      <c r="H180" s="66"/>
      <c r="I180" s="66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28"/>
      <c r="G181" s="28"/>
      <c r="H181" s="66"/>
      <c r="I181" s="66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28"/>
      <c r="G182" s="28"/>
      <c r="H182" s="66"/>
      <c r="I182" s="66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28"/>
      <c r="G183" s="28"/>
      <c r="H183" s="66"/>
      <c r="I183" s="66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28"/>
      <c r="G184" s="28"/>
      <c r="H184" s="66"/>
      <c r="I184" s="66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28"/>
      <c r="G185" s="28"/>
      <c r="H185" s="66"/>
      <c r="I185" s="66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28"/>
      <c r="G186" s="28"/>
      <c r="H186" s="66"/>
      <c r="I186" s="66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28"/>
      <c r="G187" s="28"/>
      <c r="H187" s="66"/>
      <c r="I187" s="66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28"/>
      <c r="G188" s="28"/>
      <c r="H188" s="66"/>
      <c r="I188" s="66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28"/>
      <c r="G189" s="28"/>
      <c r="H189" s="66"/>
      <c r="I189" s="66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28"/>
      <c r="G190" s="28"/>
      <c r="H190" s="66"/>
      <c r="I190" s="66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28"/>
      <c r="G191" s="28"/>
      <c r="H191" s="66"/>
      <c r="I191" s="66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28"/>
      <c r="G192" s="28"/>
      <c r="H192" s="66"/>
      <c r="I192" s="66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28"/>
      <c r="G193" s="28"/>
      <c r="H193" s="66"/>
      <c r="I193" s="66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28"/>
      <c r="G194" s="28"/>
      <c r="H194" s="66"/>
      <c r="I194" s="66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28"/>
      <c r="G195" s="28"/>
      <c r="H195" s="66"/>
      <c r="I195" s="66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28"/>
      <c r="G196" s="28"/>
      <c r="H196" s="66"/>
      <c r="I196" s="66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28"/>
      <c r="G197" s="28"/>
      <c r="H197" s="66"/>
      <c r="I197" s="66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28"/>
      <c r="G198" s="28"/>
      <c r="H198" s="66"/>
      <c r="I198" s="66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28"/>
      <c r="G199" s="28"/>
      <c r="H199" s="66"/>
      <c r="I199" s="66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28"/>
      <c r="G200" s="28"/>
      <c r="H200" s="66"/>
      <c r="I200" s="66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28"/>
      <c r="G201" s="28"/>
      <c r="H201" s="66"/>
      <c r="I201" s="66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28"/>
      <c r="G202" s="28"/>
      <c r="H202" s="66"/>
      <c r="I202" s="66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28"/>
      <c r="G203" s="28"/>
      <c r="H203" s="66"/>
      <c r="I203" s="66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28"/>
      <c r="G204" s="28"/>
      <c r="H204" s="66"/>
      <c r="I204" s="66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28"/>
      <c r="G205" s="28"/>
      <c r="H205" s="66"/>
      <c r="I205" s="66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28"/>
      <c r="G206" s="28"/>
      <c r="H206" s="66"/>
      <c r="I206" s="66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28"/>
      <c r="G207" s="28"/>
      <c r="H207" s="66"/>
      <c r="I207" s="66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28"/>
      <c r="G208" s="28"/>
      <c r="H208" s="66"/>
      <c r="I208" s="66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28"/>
      <c r="G209" s="28"/>
      <c r="H209" s="66"/>
      <c r="I209" s="66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28"/>
      <c r="G210" s="28"/>
      <c r="H210" s="66"/>
      <c r="I210" s="66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28"/>
      <c r="G211" s="28"/>
      <c r="H211" s="66"/>
      <c r="I211" s="66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28"/>
      <c r="G212" s="28"/>
      <c r="H212" s="66"/>
      <c r="I212" s="66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28"/>
      <c r="G213" s="28"/>
      <c r="H213" s="66"/>
      <c r="I213" s="66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28"/>
      <c r="G214" s="28"/>
      <c r="H214" s="66"/>
      <c r="I214" s="66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28"/>
      <c r="G215" s="28"/>
      <c r="H215" s="66"/>
      <c r="I215" s="66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28"/>
      <c r="G216" s="28"/>
      <c r="H216" s="66"/>
      <c r="I216" s="66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28"/>
      <c r="G217" s="28"/>
      <c r="H217" s="66"/>
      <c r="I217" s="66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28"/>
      <c r="G218" s="28"/>
      <c r="H218" s="66"/>
      <c r="I218" s="66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28"/>
      <c r="G219" s="28"/>
      <c r="H219" s="66"/>
      <c r="I219" s="66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28"/>
      <c r="G220" s="28"/>
      <c r="H220" s="66"/>
      <c r="I220" s="66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28"/>
      <c r="G221" s="28"/>
      <c r="H221" s="66"/>
      <c r="I221" s="66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28"/>
      <c r="G222" s="28"/>
      <c r="H222" s="66"/>
      <c r="I222" s="66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28"/>
      <c r="G223" s="28"/>
      <c r="H223" s="66"/>
      <c r="I223" s="66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28"/>
      <c r="G224" s="28"/>
      <c r="H224" s="66"/>
      <c r="I224" s="66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28"/>
      <c r="G225" s="28"/>
      <c r="H225" s="66"/>
      <c r="I225" s="66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28"/>
      <c r="G226" s="28"/>
      <c r="H226" s="66"/>
      <c r="I226" s="66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28"/>
      <c r="G227" s="28"/>
      <c r="H227" s="66"/>
      <c r="I227" s="66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28"/>
      <c r="G228" s="28"/>
      <c r="H228" s="66"/>
      <c r="I228" s="66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28"/>
      <c r="G229" s="28"/>
      <c r="H229" s="66"/>
      <c r="I229" s="66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28"/>
      <c r="G230" s="28"/>
      <c r="H230" s="66"/>
      <c r="I230" s="66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28"/>
      <c r="G231" s="28"/>
      <c r="H231" s="66"/>
      <c r="I231" s="66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28"/>
      <c r="G232" s="28"/>
      <c r="H232" s="66"/>
      <c r="I232" s="66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28"/>
      <c r="G233" s="28"/>
      <c r="H233" s="66"/>
      <c r="I233" s="66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28"/>
      <c r="G234" s="28"/>
      <c r="H234" s="66"/>
      <c r="I234" s="66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28"/>
      <c r="G235" s="28"/>
      <c r="H235" s="66"/>
      <c r="I235" s="66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28"/>
      <c r="G236" s="28"/>
      <c r="H236" s="66"/>
      <c r="I236" s="66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28"/>
      <c r="G237" s="28"/>
      <c r="H237" s="66"/>
      <c r="I237" s="66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28"/>
      <c r="G238" s="28"/>
      <c r="H238" s="66"/>
      <c r="I238" s="66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28"/>
      <c r="G239" s="28"/>
      <c r="H239" s="66"/>
      <c r="I239" s="66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28"/>
      <c r="G240" s="28"/>
      <c r="H240" s="66"/>
      <c r="I240" s="66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28"/>
      <c r="G241" s="28"/>
      <c r="H241" s="66"/>
      <c r="I241" s="66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28"/>
      <c r="G242" s="28"/>
      <c r="H242" s="66"/>
      <c r="I242" s="66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28"/>
      <c r="G243" s="28"/>
      <c r="H243" s="66"/>
      <c r="I243" s="66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28"/>
      <c r="G244" s="28"/>
      <c r="H244" s="66"/>
      <c r="I244" s="66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28"/>
      <c r="G245" s="28"/>
      <c r="H245" s="66"/>
      <c r="I245" s="66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28"/>
      <c r="G246" s="28"/>
      <c r="H246" s="66"/>
      <c r="I246" s="66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28"/>
      <c r="G247" s="28"/>
      <c r="H247" s="66"/>
      <c r="I247" s="66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28"/>
      <c r="G248" s="28"/>
      <c r="H248" s="66"/>
      <c r="I248" s="66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28"/>
      <c r="G249" s="28"/>
      <c r="H249" s="66"/>
      <c r="I249" s="66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28"/>
      <c r="G250" s="28"/>
      <c r="H250" s="66"/>
      <c r="I250" s="66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28"/>
      <c r="G251" s="28"/>
      <c r="H251" s="66"/>
      <c r="I251" s="66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28"/>
      <c r="G252" s="28"/>
      <c r="H252" s="66"/>
      <c r="I252" s="66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28"/>
      <c r="G253" s="28"/>
      <c r="H253" s="66"/>
      <c r="I253" s="66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28"/>
      <c r="G254" s="28"/>
      <c r="H254" s="66"/>
      <c r="I254" s="66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28"/>
      <c r="G255" s="28"/>
      <c r="H255" s="66"/>
      <c r="I255" s="66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28"/>
      <c r="G256" s="28"/>
      <c r="H256" s="66"/>
      <c r="I256" s="66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28"/>
      <c r="G257" s="28"/>
      <c r="H257" s="66"/>
      <c r="I257" s="66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28"/>
      <c r="G258" s="28"/>
      <c r="H258" s="66"/>
      <c r="I258" s="66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28"/>
      <c r="G259" s="28"/>
      <c r="H259" s="66"/>
      <c r="I259" s="66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28"/>
      <c r="G260" s="28"/>
      <c r="H260" s="66"/>
      <c r="I260" s="66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28"/>
      <c r="G261" s="28"/>
      <c r="H261" s="66"/>
      <c r="I261" s="66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28"/>
      <c r="G262" s="28"/>
      <c r="H262" s="66"/>
      <c r="I262" s="66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28"/>
      <c r="G263" s="28"/>
      <c r="H263" s="66"/>
      <c r="I263" s="66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28"/>
      <c r="G264" s="28"/>
      <c r="H264" s="66"/>
      <c r="I264" s="66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28"/>
      <c r="G265" s="28"/>
      <c r="H265" s="66"/>
      <c r="I265" s="66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28"/>
      <c r="G266" s="28"/>
      <c r="H266" s="66"/>
      <c r="I266" s="66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28"/>
      <c r="G267" s="28"/>
      <c r="H267" s="66"/>
      <c r="I267" s="66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28"/>
      <c r="G268" s="28"/>
      <c r="H268" s="66"/>
      <c r="I268" s="66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28"/>
      <c r="G269" s="28"/>
      <c r="H269" s="66"/>
      <c r="I269" s="66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28"/>
      <c r="G270" s="28"/>
      <c r="H270" s="66"/>
      <c r="I270" s="66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28"/>
      <c r="G271" s="28"/>
      <c r="H271" s="66"/>
      <c r="I271" s="66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28"/>
      <c r="G272" s="28"/>
      <c r="H272" s="66"/>
      <c r="I272" s="66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28"/>
      <c r="G273" s="28"/>
      <c r="H273" s="66"/>
      <c r="I273" s="66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28"/>
      <c r="G274" s="28"/>
      <c r="H274" s="66"/>
      <c r="I274" s="66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28"/>
      <c r="G275" s="28"/>
      <c r="H275" s="66"/>
      <c r="I275" s="66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28"/>
      <c r="G276" s="28"/>
      <c r="H276" s="66"/>
      <c r="I276" s="66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28"/>
      <c r="G277" s="28"/>
      <c r="H277" s="66"/>
      <c r="I277" s="66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28"/>
      <c r="G278" s="28"/>
      <c r="H278" s="66"/>
      <c r="I278" s="66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28"/>
      <c r="G279" s="28"/>
      <c r="H279" s="66"/>
      <c r="I279" s="66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28"/>
      <c r="G280" s="28"/>
      <c r="H280" s="66"/>
      <c r="I280" s="66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28"/>
      <c r="G281" s="28"/>
      <c r="H281" s="66"/>
      <c r="I281" s="66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28"/>
      <c r="G282" s="28"/>
      <c r="H282" s="66"/>
      <c r="I282" s="66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28"/>
      <c r="G283" s="28"/>
      <c r="H283" s="66"/>
      <c r="I283" s="66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28"/>
      <c r="G284" s="28"/>
      <c r="H284" s="66"/>
      <c r="I284" s="66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28"/>
      <c r="G285" s="28"/>
      <c r="H285" s="66"/>
      <c r="I285" s="66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28"/>
      <c r="G286" s="28"/>
      <c r="H286" s="66"/>
      <c r="I286" s="66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28"/>
      <c r="G287" s="28"/>
      <c r="H287" s="66"/>
      <c r="I287" s="66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28"/>
      <c r="G288" s="28"/>
      <c r="H288" s="66"/>
      <c r="I288" s="66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28"/>
      <c r="G289" s="28"/>
      <c r="H289" s="66"/>
      <c r="I289" s="66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28"/>
      <c r="G290" s="28"/>
      <c r="H290" s="66"/>
      <c r="I290" s="66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28"/>
      <c r="G291" s="28"/>
      <c r="H291" s="66"/>
      <c r="I291" s="66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28"/>
      <c r="G292" s="28"/>
      <c r="H292" s="66"/>
      <c r="I292" s="66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28"/>
      <c r="G293" s="28"/>
      <c r="H293" s="66"/>
      <c r="I293" s="66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28"/>
      <c r="G294" s="28"/>
      <c r="H294" s="66"/>
      <c r="I294" s="66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28"/>
      <c r="G295" s="28"/>
      <c r="H295" s="66"/>
      <c r="I295" s="66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28"/>
      <c r="G296" s="28"/>
      <c r="H296" s="66"/>
      <c r="I296" s="66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28"/>
      <c r="G297" s="28"/>
      <c r="H297" s="66"/>
      <c r="I297" s="66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28"/>
      <c r="G298" s="28"/>
      <c r="H298" s="66"/>
      <c r="I298" s="66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28"/>
      <c r="G299" s="28"/>
      <c r="H299" s="66"/>
      <c r="I299" s="66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28"/>
      <c r="G300" s="28"/>
      <c r="H300" s="66"/>
      <c r="I300" s="66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28"/>
      <c r="G301" s="28"/>
      <c r="H301" s="66"/>
      <c r="I301" s="66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28"/>
      <c r="G302" s="28"/>
      <c r="H302" s="66"/>
      <c r="I302" s="66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28"/>
      <c r="G303" s="28"/>
      <c r="H303" s="66"/>
      <c r="I303" s="66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28"/>
      <c r="G304" s="28"/>
      <c r="H304" s="66"/>
      <c r="I304" s="66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28"/>
      <c r="G305" s="28"/>
      <c r="H305" s="66"/>
      <c r="I305" s="66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28"/>
      <c r="G306" s="28"/>
      <c r="H306" s="66"/>
      <c r="I306" s="66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28"/>
      <c r="G307" s="28"/>
      <c r="H307" s="66"/>
      <c r="I307" s="66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28"/>
      <c r="G308" s="28"/>
      <c r="H308" s="66"/>
      <c r="I308" s="66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28"/>
      <c r="G309" s="28"/>
      <c r="H309" s="66"/>
      <c r="I309" s="66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28"/>
      <c r="G310" s="28"/>
      <c r="H310" s="66"/>
      <c r="I310" s="66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28"/>
      <c r="G311" s="28"/>
      <c r="H311" s="66"/>
      <c r="I311" s="66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28"/>
      <c r="G312" s="28"/>
      <c r="H312" s="66"/>
      <c r="I312" s="66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28"/>
      <c r="G313" s="28"/>
      <c r="H313" s="66"/>
      <c r="I313" s="66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28"/>
      <c r="G314" s="28"/>
      <c r="H314" s="66"/>
      <c r="I314" s="66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28"/>
      <c r="G315" s="28"/>
      <c r="H315" s="66"/>
      <c r="I315" s="66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28"/>
      <c r="G316" s="28"/>
      <c r="H316" s="66"/>
      <c r="I316" s="66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28"/>
      <c r="G317" s="28"/>
      <c r="H317" s="66"/>
      <c r="I317" s="66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28"/>
      <c r="G318" s="28"/>
      <c r="H318" s="66"/>
      <c r="I318" s="66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28"/>
      <c r="G319" s="28"/>
      <c r="H319" s="66"/>
      <c r="I319" s="66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28"/>
      <c r="G320" s="28"/>
      <c r="H320" s="66"/>
      <c r="I320" s="66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28"/>
      <c r="G321" s="28"/>
      <c r="H321" s="66"/>
      <c r="I321" s="66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28"/>
      <c r="G322" s="28"/>
      <c r="H322" s="66"/>
      <c r="I322" s="66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28"/>
      <c r="G323" s="28"/>
      <c r="H323" s="66"/>
      <c r="I323" s="66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28"/>
      <c r="G324" s="28"/>
      <c r="H324" s="66"/>
      <c r="I324" s="66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28"/>
      <c r="G325" s="28"/>
      <c r="H325" s="66"/>
      <c r="I325" s="66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28"/>
      <c r="G326" s="28"/>
      <c r="H326" s="66"/>
      <c r="I326" s="66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28"/>
      <c r="G327" s="28"/>
      <c r="H327" s="66"/>
      <c r="I327" s="66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28"/>
      <c r="G328" s="28"/>
      <c r="H328" s="66"/>
      <c r="I328" s="66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28"/>
      <c r="G329" s="28"/>
      <c r="H329" s="66"/>
      <c r="I329" s="66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28"/>
      <c r="G330" s="28"/>
      <c r="H330" s="66"/>
      <c r="I330" s="66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28"/>
      <c r="G331" s="28"/>
      <c r="H331" s="66"/>
      <c r="I331" s="66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28"/>
      <c r="G332" s="28"/>
      <c r="H332" s="66"/>
      <c r="I332" s="66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28"/>
      <c r="G333" s="28"/>
      <c r="H333" s="66"/>
      <c r="I333" s="66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28"/>
      <c r="G334" s="28"/>
      <c r="H334" s="66"/>
      <c r="I334" s="66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28"/>
      <c r="G335" s="28"/>
      <c r="H335" s="66"/>
      <c r="I335" s="66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28"/>
      <c r="G336" s="28"/>
      <c r="H336" s="66"/>
      <c r="I336" s="66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28"/>
      <c r="G337" s="28"/>
      <c r="H337" s="66"/>
      <c r="I337" s="66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28"/>
      <c r="G338" s="28"/>
      <c r="H338" s="66"/>
      <c r="I338" s="66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28"/>
      <c r="G339" s="28"/>
      <c r="H339" s="66"/>
      <c r="I339" s="66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28"/>
      <c r="G340" s="28"/>
      <c r="H340" s="66"/>
      <c r="I340" s="66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28"/>
      <c r="G341" s="28"/>
      <c r="H341" s="66"/>
      <c r="I341" s="66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28"/>
      <c r="G342" s="28"/>
      <c r="H342" s="66"/>
      <c r="I342" s="66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28"/>
      <c r="G343" s="28"/>
      <c r="H343" s="66"/>
      <c r="I343" s="66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28"/>
      <c r="G344" s="28"/>
      <c r="H344" s="66"/>
      <c r="I344" s="66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28"/>
      <c r="G345" s="28"/>
      <c r="H345" s="66"/>
      <c r="I345" s="66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28"/>
      <c r="G346" s="28"/>
      <c r="H346" s="66"/>
      <c r="I346" s="66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28"/>
      <c r="G347" s="28"/>
      <c r="H347" s="66"/>
      <c r="I347" s="66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28"/>
      <c r="G348" s="28"/>
      <c r="H348" s="66"/>
      <c r="I348" s="66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28"/>
      <c r="G349" s="28"/>
      <c r="H349" s="66"/>
      <c r="I349" s="66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28"/>
      <c r="G350" s="28"/>
      <c r="H350" s="66"/>
      <c r="I350" s="66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28"/>
      <c r="G351" s="28"/>
      <c r="H351" s="66"/>
      <c r="I351" s="66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28"/>
      <c r="G352" s="28"/>
      <c r="H352" s="66"/>
      <c r="I352" s="66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28"/>
      <c r="G353" s="28"/>
      <c r="H353" s="66"/>
      <c r="I353" s="66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28"/>
      <c r="G354" s="28"/>
      <c r="H354" s="66"/>
      <c r="I354" s="66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28"/>
      <c r="G355" s="28"/>
      <c r="H355" s="66"/>
      <c r="I355" s="66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28"/>
      <c r="G356" s="28"/>
      <c r="H356" s="66"/>
      <c r="I356" s="66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28"/>
      <c r="G357" s="28"/>
      <c r="H357" s="66"/>
      <c r="I357" s="66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28"/>
      <c r="G358" s="28"/>
      <c r="H358" s="66"/>
      <c r="I358" s="66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28"/>
      <c r="G359" s="28"/>
      <c r="H359" s="66"/>
      <c r="I359" s="66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28"/>
      <c r="G360" s="28"/>
      <c r="H360" s="66"/>
      <c r="I360" s="66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28"/>
      <c r="G361" s="28"/>
      <c r="H361" s="66"/>
      <c r="I361" s="66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28"/>
      <c r="G362" s="28"/>
      <c r="H362" s="66"/>
      <c r="I362" s="66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28"/>
      <c r="G363" s="28"/>
      <c r="H363" s="66"/>
      <c r="I363" s="66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28"/>
      <c r="G364" s="28"/>
      <c r="H364" s="66"/>
      <c r="I364" s="66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28"/>
      <c r="G365" s="28"/>
      <c r="H365" s="66"/>
      <c r="I365" s="66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28"/>
      <c r="G366" s="28"/>
      <c r="H366" s="66"/>
      <c r="I366" s="66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28"/>
      <c r="G367" s="28"/>
      <c r="H367" s="66"/>
      <c r="I367" s="66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28"/>
      <c r="G368" s="28"/>
      <c r="H368" s="66"/>
      <c r="I368" s="66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28"/>
      <c r="G369" s="28"/>
      <c r="H369" s="66"/>
      <c r="I369" s="66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28"/>
      <c r="G370" s="28"/>
      <c r="H370" s="66"/>
      <c r="I370" s="66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28"/>
      <c r="G371" s="28"/>
      <c r="H371" s="66"/>
      <c r="I371" s="66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28"/>
      <c r="G372" s="28"/>
      <c r="H372" s="66"/>
      <c r="I372" s="66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28"/>
      <c r="G373" s="28"/>
      <c r="H373" s="66"/>
      <c r="I373" s="66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28"/>
      <c r="G374" s="28"/>
      <c r="H374" s="66"/>
      <c r="I374" s="66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28"/>
      <c r="G375" s="28"/>
      <c r="H375" s="66"/>
      <c r="I375" s="66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28"/>
      <c r="G376" s="28"/>
      <c r="H376" s="66"/>
      <c r="I376" s="66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28"/>
      <c r="G377" s="28"/>
      <c r="H377" s="66"/>
      <c r="I377" s="66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28"/>
      <c r="G378" s="28"/>
      <c r="H378" s="66"/>
      <c r="I378" s="66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28"/>
      <c r="G379" s="28"/>
      <c r="H379" s="66"/>
      <c r="I379" s="66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28"/>
      <c r="G380" s="28"/>
      <c r="H380" s="66"/>
      <c r="I380" s="66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28"/>
      <c r="G381" s="28"/>
      <c r="H381" s="66"/>
      <c r="I381" s="66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28"/>
      <c r="G382" s="28"/>
      <c r="H382" s="66"/>
      <c r="I382" s="66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28"/>
      <c r="G383" s="28"/>
      <c r="H383" s="66"/>
      <c r="I383" s="66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28"/>
      <c r="G384" s="28"/>
      <c r="H384" s="66"/>
      <c r="I384" s="66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28"/>
      <c r="G385" s="28"/>
      <c r="H385" s="66"/>
      <c r="I385" s="66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28"/>
      <c r="G386" s="28"/>
      <c r="H386" s="66"/>
      <c r="I386" s="66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28"/>
      <c r="G387" s="28"/>
      <c r="H387" s="66"/>
      <c r="I387" s="66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28"/>
      <c r="G388" s="28"/>
      <c r="H388" s="66"/>
      <c r="I388" s="66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28"/>
      <c r="G389" s="28"/>
      <c r="H389" s="66"/>
      <c r="I389" s="66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28"/>
      <c r="G390" s="28"/>
      <c r="H390" s="66"/>
      <c r="I390" s="66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28"/>
      <c r="G391" s="28"/>
      <c r="H391" s="66"/>
      <c r="I391" s="66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28"/>
      <c r="G392" s="28"/>
      <c r="H392" s="66"/>
      <c r="I392" s="66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28"/>
      <c r="G393" s="28"/>
      <c r="H393" s="66"/>
      <c r="I393" s="66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28"/>
      <c r="G394" s="28"/>
      <c r="H394" s="66"/>
      <c r="I394" s="66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28"/>
      <c r="G395" s="28"/>
      <c r="H395" s="66"/>
      <c r="I395" s="66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28"/>
      <c r="G396" s="28"/>
      <c r="H396" s="66"/>
      <c r="I396" s="66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28"/>
      <c r="G397" s="28"/>
      <c r="H397" s="66"/>
      <c r="I397" s="66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28"/>
      <c r="G398" s="28"/>
      <c r="H398" s="66"/>
      <c r="I398" s="66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28"/>
      <c r="G399" s="28"/>
      <c r="H399" s="66"/>
      <c r="I399" s="66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28"/>
      <c r="G400" s="28"/>
      <c r="H400" s="66"/>
      <c r="I400" s="66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28"/>
      <c r="G401" s="28"/>
      <c r="H401" s="66"/>
      <c r="I401" s="66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28"/>
      <c r="G402" s="28"/>
      <c r="H402" s="66"/>
      <c r="I402" s="66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28"/>
      <c r="G403" s="28"/>
      <c r="H403" s="66"/>
      <c r="I403" s="66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28"/>
      <c r="G404" s="28"/>
      <c r="H404" s="66"/>
      <c r="I404" s="66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28"/>
      <c r="G405" s="28"/>
      <c r="H405" s="66"/>
      <c r="I405" s="66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28"/>
      <c r="G406" s="28"/>
      <c r="H406" s="66"/>
      <c r="I406" s="66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28"/>
      <c r="G407" s="28"/>
      <c r="H407" s="66"/>
      <c r="I407" s="66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28"/>
      <c r="G408" s="28"/>
      <c r="H408" s="66"/>
      <c r="I408" s="66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28"/>
      <c r="G409" s="28"/>
      <c r="H409" s="66"/>
      <c r="I409" s="66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28"/>
      <c r="G410" s="28"/>
      <c r="H410" s="66"/>
      <c r="I410" s="66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28"/>
      <c r="G411" s="28"/>
      <c r="H411" s="66"/>
      <c r="I411" s="66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28"/>
      <c r="G412" s="28"/>
      <c r="H412" s="66"/>
      <c r="I412" s="66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28"/>
      <c r="G413" s="28"/>
      <c r="H413" s="66"/>
      <c r="I413" s="66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28"/>
      <c r="G414" s="28"/>
      <c r="H414" s="66"/>
      <c r="I414" s="66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28"/>
      <c r="G415" s="28"/>
      <c r="H415" s="66"/>
      <c r="I415" s="66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28"/>
      <c r="G416" s="28"/>
      <c r="H416" s="66"/>
      <c r="I416" s="66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28"/>
      <c r="G417" s="28"/>
      <c r="H417" s="66"/>
      <c r="I417" s="66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28"/>
      <c r="G418" s="28"/>
      <c r="H418" s="66"/>
      <c r="I418" s="66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28"/>
      <c r="G419" s="28"/>
      <c r="H419" s="66"/>
      <c r="I419" s="66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28"/>
      <c r="G420" s="28"/>
      <c r="H420" s="66"/>
      <c r="I420" s="66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28"/>
      <c r="G421" s="28"/>
      <c r="H421" s="66"/>
      <c r="I421" s="66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28"/>
      <c r="G422" s="28"/>
      <c r="H422" s="66"/>
      <c r="I422" s="66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28"/>
      <c r="G423" s="28"/>
      <c r="H423" s="66"/>
      <c r="I423" s="66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28"/>
      <c r="G424" s="28"/>
      <c r="H424" s="66"/>
      <c r="I424" s="66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28"/>
      <c r="G425" s="28"/>
      <c r="H425" s="66"/>
      <c r="I425" s="66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28"/>
      <c r="G426" s="28"/>
      <c r="H426" s="66"/>
      <c r="I426" s="66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28"/>
      <c r="G427" s="28"/>
      <c r="H427" s="66"/>
      <c r="I427" s="66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28"/>
      <c r="G428" s="28"/>
      <c r="H428" s="66"/>
      <c r="I428" s="66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28"/>
      <c r="G429" s="28"/>
      <c r="H429" s="66"/>
      <c r="I429" s="66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28"/>
      <c r="G430" s="28"/>
      <c r="H430" s="66"/>
      <c r="I430" s="66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28"/>
      <c r="G431" s="28"/>
      <c r="H431" s="66"/>
      <c r="I431" s="66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28"/>
      <c r="G432" s="28"/>
      <c r="H432" s="66"/>
      <c r="I432" s="66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28"/>
      <c r="G433" s="28"/>
      <c r="H433" s="66"/>
      <c r="I433" s="66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28"/>
      <c r="G434" s="28"/>
      <c r="H434" s="66"/>
      <c r="I434" s="66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28"/>
      <c r="G435" s="28"/>
      <c r="H435" s="66"/>
      <c r="I435" s="66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28"/>
      <c r="G436" s="28"/>
      <c r="H436" s="66"/>
      <c r="I436" s="66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28"/>
      <c r="G437" s="28"/>
      <c r="H437" s="66"/>
      <c r="I437" s="66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28"/>
      <c r="G438" s="28"/>
      <c r="H438" s="66"/>
      <c r="I438" s="66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28"/>
      <c r="G439" s="28"/>
      <c r="H439" s="66"/>
      <c r="I439" s="66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28"/>
      <c r="G440" s="28"/>
      <c r="H440" s="66"/>
      <c r="I440" s="66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28"/>
      <c r="G441" s="28"/>
      <c r="H441" s="66"/>
      <c r="I441" s="66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28"/>
      <c r="G442" s="28"/>
      <c r="H442" s="66"/>
      <c r="I442" s="66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28"/>
      <c r="G443" s="28"/>
      <c r="H443" s="66"/>
      <c r="I443" s="66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28"/>
      <c r="G444" s="28"/>
      <c r="H444" s="66"/>
      <c r="I444" s="66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28"/>
      <c r="G445" s="28"/>
      <c r="H445" s="66"/>
      <c r="I445" s="66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28"/>
      <c r="G446" s="28"/>
      <c r="H446" s="66"/>
      <c r="I446" s="66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28"/>
      <c r="G447" s="28"/>
      <c r="H447" s="66"/>
      <c r="I447" s="66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28"/>
      <c r="G448" s="28"/>
      <c r="H448" s="66"/>
      <c r="I448" s="66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28"/>
      <c r="G449" s="28"/>
      <c r="H449" s="66"/>
      <c r="I449" s="66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28"/>
      <c r="G450" s="28"/>
      <c r="H450" s="66"/>
      <c r="I450" s="66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28"/>
      <c r="G451" s="28"/>
      <c r="H451" s="66"/>
      <c r="I451" s="66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28"/>
      <c r="G452" s="28"/>
      <c r="H452" s="66"/>
      <c r="I452" s="66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28"/>
      <c r="G453" s="28"/>
      <c r="H453" s="66"/>
      <c r="I453" s="66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28"/>
      <c r="G454" s="28"/>
      <c r="H454" s="66"/>
      <c r="I454" s="66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28"/>
      <c r="G455" s="28"/>
      <c r="H455" s="66"/>
      <c r="I455" s="66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28"/>
      <c r="G456" s="28"/>
      <c r="H456" s="66"/>
      <c r="I456" s="66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28"/>
      <c r="G457" s="28"/>
      <c r="H457" s="66"/>
      <c r="I457" s="66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28"/>
      <c r="G458" s="28"/>
      <c r="H458" s="66"/>
      <c r="I458" s="66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28"/>
      <c r="G459" s="28"/>
      <c r="H459" s="66"/>
      <c r="I459" s="66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28"/>
      <c r="G460" s="28"/>
      <c r="H460" s="66"/>
      <c r="I460" s="66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28"/>
      <c r="G461" s="28"/>
      <c r="H461" s="66"/>
      <c r="I461" s="66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28"/>
      <c r="G462" s="28"/>
      <c r="H462" s="66"/>
      <c r="I462" s="66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28"/>
      <c r="G463" s="28"/>
      <c r="H463" s="66"/>
      <c r="I463" s="66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28"/>
      <c r="G464" s="28"/>
      <c r="H464" s="66"/>
      <c r="I464" s="66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28"/>
      <c r="G465" s="28"/>
      <c r="H465" s="66"/>
      <c r="I465" s="66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28"/>
      <c r="G466" s="28"/>
      <c r="H466" s="66"/>
      <c r="I466" s="66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28"/>
      <c r="G467" s="28"/>
      <c r="H467" s="66"/>
      <c r="I467" s="66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28"/>
      <c r="G468" s="28"/>
      <c r="H468" s="66"/>
      <c r="I468" s="66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28"/>
      <c r="G469" s="28"/>
      <c r="H469" s="66"/>
      <c r="I469" s="66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28"/>
      <c r="G470" s="28"/>
      <c r="H470" s="66"/>
      <c r="I470" s="66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28"/>
      <c r="G471" s="28"/>
      <c r="H471" s="66"/>
      <c r="I471" s="66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28"/>
      <c r="G472" s="28"/>
      <c r="H472" s="66"/>
      <c r="I472" s="66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28"/>
      <c r="G473" s="28"/>
      <c r="H473" s="66"/>
      <c r="I473" s="66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28"/>
      <c r="G474" s="28"/>
      <c r="H474" s="66"/>
      <c r="I474" s="66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28"/>
      <c r="G475" s="28"/>
      <c r="H475" s="66"/>
      <c r="I475" s="66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28"/>
      <c r="G476" s="28"/>
      <c r="H476" s="66"/>
      <c r="I476" s="66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28"/>
      <c r="G477" s="28"/>
      <c r="H477" s="66"/>
      <c r="I477" s="66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28"/>
      <c r="G478" s="28"/>
      <c r="H478" s="66"/>
      <c r="I478" s="66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28"/>
      <c r="G479" s="28"/>
      <c r="H479" s="66"/>
      <c r="I479" s="66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28"/>
      <c r="G480" s="28"/>
      <c r="H480" s="66"/>
      <c r="I480" s="66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28"/>
      <c r="G481" s="28"/>
      <c r="H481" s="66"/>
      <c r="I481" s="66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28"/>
      <c r="G482" s="28"/>
      <c r="H482" s="66"/>
      <c r="I482" s="66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28"/>
      <c r="G483" s="28"/>
      <c r="H483" s="66"/>
      <c r="I483" s="66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28"/>
      <c r="G484" s="28"/>
      <c r="H484" s="66"/>
      <c r="I484" s="66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28"/>
      <c r="G485" s="28"/>
      <c r="H485" s="66"/>
      <c r="I485" s="66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28"/>
      <c r="G486" s="28"/>
      <c r="H486" s="66"/>
      <c r="I486" s="66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28"/>
      <c r="G487" s="28"/>
      <c r="H487" s="66"/>
      <c r="I487" s="66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28"/>
      <c r="G488" s="28"/>
      <c r="H488" s="66"/>
      <c r="I488" s="66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28"/>
      <c r="G489" s="28"/>
      <c r="H489" s="66"/>
      <c r="I489" s="66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28"/>
      <c r="G490" s="28"/>
      <c r="H490" s="66"/>
      <c r="I490" s="66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28"/>
      <c r="G491" s="28"/>
      <c r="H491" s="66"/>
      <c r="I491" s="66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28"/>
      <c r="G492" s="28"/>
      <c r="H492" s="66"/>
      <c r="I492" s="66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28"/>
      <c r="G493" s="28"/>
      <c r="H493" s="66"/>
      <c r="I493" s="66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28"/>
      <c r="G494" s="28"/>
      <c r="H494" s="66"/>
      <c r="I494" s="66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28"/>
      <c r="G495" s="28"/>
      <c r="H495" s="66"/>
      <c r="I495" s="66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28"/>
      <c r="G496" s="28"/>
      <c r="H496" s="66"/>
      <c r="I496" s="66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28"/>
      <c r="G497" s="28"/>
      <c r="H497" s="66"/>
      <c r="I497" s="66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28"/>
      <c r="G498" s="28"/>
      <c r="H498" s="66"/>
      <c r="I498" s="66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28"/>
      <c r="G499" s="28"/>
      <c r="H499" s="66"/>
      <c r="I499" s="66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28"/>
      <c r="G500" s="28"/>
      <c r="H500" s="66"/>
      <c r="I500" s="66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28"/>
      <c r="G501" s="28"/>
      <c r="H501" s="66"/>
      <c r="I501" s="66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28"/>
      <c r="G502" s="28"/>
      <c r="H502" s="66"/>
      <c r="I502" s="66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28"/>
      <c r="G503" s="28"/>
      <c r="H503" s="66"/>
      <c r="I503" s="66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28"/>
      <c r="G504" s="28"/>
      <c r="H504" s="66"/>
      <c r="I504" s="66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28"/>
      <c r="G505" s="28"/>
      <c r="H505" s="66"/>
      <c r="I505" s="66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28"/>
      <c r="G506" s="28"/>
      <c r="H506" s="66"/>
      <c r="I506" s="66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28"/>
      <c r="G507" s="28"/>
      <c r="H507" s="66"/>
      <c r="I507" s="66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28"/>
      <c r="G508" s="28"/>
      <c r="H508" s="66"/>
      <c r="I508" s="66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28"/>
      <c r="G509" s="28"/>
      <c r="H509" s="66"/>
      <c r="I509" s="66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28"/>
      <c r="G510" s="28"/>
      <c r="H510" s="66"/>
      <c r="I510" s="66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28"/>
      <c r="G511" s="28"/>
      <c r="H511" s="66"/>
      <c r="I511" s="66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28"/>
      <c r="G512" s="28"/>
      <c r="H512" s="66"/>
      <c r="I512" s="66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28"/>
      <c r="G513" s="28"/>
      <c r="H513" s="66"/>
      <c r="I513" s="66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28"/>
      <c r="G514" s="28"/>
      <c r="H514" s="66"/>
      <c r="I514" s="66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28"/>
      <c r="G515" s="28"/>
      <c r="H515" s="66"/>
      <c r="I515" s="66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28"/>
      <c r="G516" s="28"/>
      <c r="H516" s="66"/>
      <c r="I516" s="66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28"/>
      <c r="G517" s="28"/>
      <c r="H517" s="66"/>
      <c r="I517" s="66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28"/>
      <c r="G518" s="28"/>
      <c r="H518" s="66"/>
      <c r="I518" s="66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28"/>
      <c r="G519" s="28"/>
      <c r="H519" s="66"/>
      <c r="I519" s="66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28"/>
      <c r="G520" s="28"/>
      <c r="H520" s="66"/>
      <c r="I520" s="66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28"/>
      <c r="G521" s="28"/>
      <c r="H521" s="66"/>
      <c r="I521" s="66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28"/>
      <c r="G522" s="28"/>
      <c r="H522" s="66"/>
      <c r="I522" s="66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28"/>
      <c r="G523" s="28"/>
      <c r="H523" s="66"/>
      <c r="I523" s="66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28"/>
      <c r="G524" s="28"/>
      <c r="H524" s="66"/>
      <c r="I524" s="66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28"/>
      <c r="G525" s="28"/>
      <c r="H525" s="66"/>
      <c r="I525" s="66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28"/>
      <c r="G526" s="28"/>
      <c r="H526" s="66"/>
      <c r="I526" s="66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28"/>
      <c r="G527" s="28"/>
      <c r="H527" s="66"/>
      <c r="I527" s="66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28"/>
      <c r="G528" s="28"/>
      <c r="H528" s="66"/>
      <c r="I528" s="66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28"/>
      <c r="G529" s="28"/>
      <c r="H529" s="66"/>
      <c r="I529" s="66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28"/>
      <c r="G530" s="28"/>
      <c r="H530" s="66"/>
      <c r="I530" s="66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28"/>
      <c r="G531" s="28"/>
      <c r="H531" s="66"/>
      <c r="I531" s="66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28"/>
      <c r="G532" s="28"/>
      <c r="H532" s="66"/>
      <c r="I532" s="66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28"/>
      <c r="G533" s="28"/>
      <c r="H533" s="66"/>
      <c r="I533" s="66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28"/>
      <c r="G534" s="28"/>
      <c r="H534" s="66"/>
      <c r="I534" s="66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28"/>
      <c r="G535" s="28"/>
      <c r="H535" s="66"/>
      <c r="I535" s="66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28"/>
      <c r="G536" s="28"/>
      <c r="H536" s="66"/>
      <c r="I536" s="66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28"/>
      <c r="G537" s="28"/>
      <c r="H537" s="66"/>
      <c r="I537" s="66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28"/>
      <c r="G538" s="28"/>
      <c r="H538" s="66"/>
      <c r="I538" s="66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28"/>
      <c r="G539" s="28"/>
      <c r="H539" s="66"/>
      <c r="I539" s="66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28"/>
      <c r="G540" s="28"/>
      <c r="H540" s="66"/>
      <c r="I540" s="66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28"/>
      <c r="G541" s="28"/>
      <c r="H541" s="66"/>
      <c r="I541" s="66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28"/>
      <c r="G542" s="28"/>
      <c r="H542" s="66"/>
      <c r="I542" s="66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28"/>
      <c r="G543" s="28"/>
      <c r="H543" s="66"/>
      <c r="I543" s="66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28"/>
      <c r="G544" s="28"/>
      <c r="H544" s="66"/>
      <c r="I544" s="66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28"/>
      <c r="G545" s="28"/>
      <c r="H545" s="66"/>
      <c r="I545" s="66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28"/>
      <c r="G546" s="28"/>
      <c r="H546" s="66"/>
      <c r="I546" s="66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28"/>
      <c r="G547" s="28"/>
      <c r="H547" s="66"/>
      <c r="I547" s="66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28"/>
      <c r="G548" s="28"/>
      <c r="H548" s="66"/>
      <c r="I548" s="66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28"/>
      <c r="G549" s="28"/>
      <c r="H549" s="66"/>
      <c r="I549" s="66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28"/>
      <c r="G550" s="28"/>
      <c r="H550" s="66"/>
      <c r="I550" s="66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28"/>
      <c r="G551" s="28"/>
      <c r="H551" s="66"/>
      <c r="I551" s="66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28"/>
      <c r="G552" s="28"/>
      <c r="H552" s="66"/>
      <c r="I552" s="66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28"/>
      <c r="G553" s="28"/>
      <c r="H553" s="66"/>
      <c r="I553" s="66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28"/>
      <c r="G554" s="28"/>
      <c r="H554" s="66"/>
      <c r="I554" s="66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28"/>
      <c r="G555" s="28"/>
      <c r="H555" s="66"/>
      <c r="I555" s="66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28"/>
      <c r="G556" s="28"/>
      <c r="H556" s="66"/>
      <c r="I556" s="66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28"/>
      <c r="G557" s="28"/>
      <c r="H557" s="66"/>
      <c r="I557" s="66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28"/>
      <c r="G558" s="28"/>
      <c r="H558" s="66"/>
      <c r="I558" s="66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28"/>
      <c r="G559" s="28"/>
      <c r="H559" s="66"/>
      <c r="I559" s="66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28"/>
      <c r="G560" s="28"/>
      <c r="H560" s="66"/>
      <c r="I560" s="66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28"/>
      <c r="G561" s="28"/>
      <c r="H561" s="66"/>
      <c r="I561" s="66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28"/>
      <c r="G562" s="28"/>
      <c r="H562" s="66"/>
      <c r="I562" s="66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28"/>
      <c r="G563" s="28"/>
      <c r="H563" s="66"/>
      <c r="I563" s="66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28"/>
      <c r="G564" s="28"/>
      <c r="H564" s="66"/>
      <c r="I564" s="66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28"/>
      <c r="G565" s="28"/>
      <c r="H565" s="66"/>
      <c r="I565" s="66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28"/>
      <c r="G566" s="28"/>
      <c r="H566" s="66"/>
      <c r="I566" s="66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28"/>
      <c r="G567" s="28"/>
      <c r="H567" s="66"/>
      <c r="I567" s="66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28"/>
      <c r="G568" s="28"/>
      <c r="H568" s="66"/>
      <c r="I568" s="66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28"/>
      <c r="G569" s="28"/>
      <c r="H569" s="66"/>
      <c r="I569" s="66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28"/>
      <c r="G570" s="28"/>
      <c r="H570" s="66"/>
      <c r="I570" s="66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28"/>
      <c r="G571" s="28"/>
      <c r="H571" s="66"/>
      <c r="I571" s="66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28"/>
      <c r="G572" s="28"/>
      <c r="H572" s="66"/>
      <c r="I572" s="66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28"/>
      <c r="G573" s="28"/>
      <c r="H573" s="66"/>
      <c r="I573" s="66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28"/>
      <c r="G574" s="28"/>
      <c r="H574" s="66"/>
      <c r="I574" s="66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28"/>
      <c r="G575" s="28"/>
      <c r="H575" s="66"/>
      <c r="I575" s="66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28"/>
      <c r="G576" s="28"/>
      <c r="H576" s="66"/>
      <c r="I576" s="66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28"/>
      <c r="G577" s="28"/>
      <c r="H577" s="66"/>
      <c r="I577" s="66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28"/>
      <c r="G578" s="28"/>
      <c r="H578" s="66"/>
      <c r="I578" s="66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28"/>
      <c r="G579" s="28"/>
      <c r="H579" s="66"/>
      <c r="I579" s="66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28"/>
      <c r="G580" s="28"/>
      <c r="H580" s="66"/>
      <c r="I580" s="66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28"/>
      <c r="G581" s="28"/>
      <c r="H581" s="66"/>
      <c r="I581" s="66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28"/>
      <c r="G582" s="28"/>
      <c r="H582" s="66"/>
      <c r="I582" s="66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28"/>
      <c r="G583" s="28"/>
      <c r="H583" s="66"/>
      <c r="I583" s="66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28"/>
      <c r="G584" s="28"/>
      <c r="H584" s="66"/>
      <c r="I584" s="66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28"/>
      <c r="G585" s="28"/>
      <c r="H585" s="66"/>
      <c r="I585" s="66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28"/>
      <c r="G586" s="28"/>
      <c r="H586" s="66"/>
      <c r="I586" s="66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28"/>
      <c r="G587" s="28"/>
      <c r="H587" s="66"/>
      <c r="I587" s="66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28"/>
      <c r="G588" s="28"/>
      <c r="H588" s="66"/>
      <c r="I588" s="66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28"/>
      <c r="G589" s="28"/>
      <c r="H589" s="66"/>
      <c r="I589" s="66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28"/>
      <c r="G590" s="28"/>
      <c r="H590" s="66"/>
      <c r="I590" s="66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28"/>
      <c r="G591" s="28"/>
      <c r="H591" s="66"/>
      <c r="I591" s="66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28"/>
      <c r="G592" s="28"/>
      <c r="H592" s="66"/>
      <c r="I592" s="66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28"/>
      <c r="G593" s="28"/>
      <c r="H593" s="66"/>
      <c r="I593" s="66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28"/>
      <c r="G594" s="28"/>
      <c r="H594" s="66"/>
      <c r="I594" s="66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28"/>
      <c r="G595" s="28"/>
      <c r="H595" s="66"/>
      <c r="I595" s="66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28"/>
      <c r="G596" s="28"/>
      <c r="H596" s="66"/>
      <c r="I596" s="66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28"/>
      <c r="G597" s="28"/>
      <c r="H597" s="66"/>
      <c r="I597" s="66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28"/>
      <c r="G598" s="28"/>
      <c r="H598" s="66"/>
      <c r="I598" s="66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28"/>
      <c r="G599" s="28"/>
      <c r="H599" s="66"/>
      <c r="I599" s="66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28"/>
      <c r="G600" s="28"/>
      <c r="H600" s="66"/>
      <c r="I600" s="66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28"/>
      <c r="G601" s="28"/>
      <c r="H601" s="66"/>
      <c r="I601" s="66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28"/>
      <c r="G602" s="28"/>
      <c r="H602" s="66"/>
      <c r="I602" s="66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28"/>
      <c r="G603" s="28"/>
      <c r="H603" s="66"/>
      <c r="I603" s="66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28"/>
      <c r="G604" s="28"/>
      <c r="H604" s="66"/>
      <c r="I604" s="66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28"/>
      <c r="G605" s="28"/>
      <c r="H605" s="66"/>
      <c r="I605" s="66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28"/>
      <c r="G606" s="28"/>
      <c r="H606" s="66"/>
      <c r="I606" s="66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28"/>
      <c r="G607" s="28"/>
      <c r="H607" s="66"/>
      <c r="I607" s="66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28"/>
      <c r="G608" s="28"/>
      <c r="H608" s="66"/>
      <c r="I608" s="66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28"/>
      <c r="G609" s="28"/>
      <c r="H609" s="66"/>
      <c r="I609" s="66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28"/>
      <c r="G610" s="28"/>
      <c r="H610" s="66"/>
      <c r="I610" s="66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28"/>
      <c r="G611" s="28"/>
      <c r="H611" s="66"/>
      <c r="I611" s="66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28"/>
      <c r="G612" s="28"/>
      <c r="H612" s="66"/>
      <c r="I612" s="66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28"/>
      <c r="G613" s="28"/>
      <c r="H613" s="66"/>
      <c r="I613" s="66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28"/>
      <c r="G614" s="28"/>
      <c r="H614" s="66"/>
      <c r="I614" s="66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28"/>
      <c r="G615" s="28"/>
      <c r="H615" s="66"/>
      <c r="I615" s="66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28"/>
      <c r="G616" s="28"/>
      <c r="H616" s="66"/>
      <c r="I616" s="66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28"/>
      <c r="G617" s="28"/>
      <c r="H617" s="66"/>
      <c r="I617" s="66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28"/>
      <c r="G618" s="28"/>
      <c r="H618" s="66"/>
      <c r="I618" s="66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28"/>
      <c r="G619" s="28"/>
      <c r="H619" s="66"/>
      <c r="I619" s="66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28"/>
      <c r="G620" s="28"/>
      <c r="H620" s="66"/>
      <c r="I620" s="66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28"/>
      <c r="G621" s="28"/>
      <c r="H621" s="66"/>
      <c r="I621" s="66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28"/>
      <c r="G622" s="28"/>
      <c r="H622" s="66"/>
      <c r="I622" s="66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28"/>
      <c r="G623" s="28"/>
      <c r="H623" s="66"/>
      <c r="I623" s="66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28"/>
      <c r="G624" s="28"/>
      <c r="H624" s="66"/>
      <c r="I624" s="66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28"/>
      <c r="G625" s="28"/>
      <c r="H625" s="66"/>
      <c r="I625" s="66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28"/>
      <c r="G626" s="28"/>
      <c r="H626" s="66"/>
      <c r="I626" s="66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28"/>
      <c r="G627" s="28"/>
      <c r="H627" s="66"/>
      <c r="I627" s="66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28"/>
      <c r="G628" s="28"/>
      <c r="H628" s="66"/>
      <c r="I628" s="66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28"/>
      <c r="G629" s="28"/>
      <c r="H629" s="66"/>
      <c r="I629" s="66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28"/>
      <c r="G630" s="28"/>
      <c r="H630" s="66"/>
      <c r="I630" s="66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28"/>
      <c r="G631" s="28"/>
      <c r="H631" s="66"/>
      <c r="I631" s="66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28"/>
      <c r="G632" s="28"/>
      <c r="H632" s="66"/>
      <c r="I632" s="66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28"/>
      <c r="G633" s="28"/>
      <c r="H633" s="66"/>
      <c r="I633" s="66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28"/>
      <c r="G634" s="28"/>
      <c r="H634" s="66"/>
      <c r="I634" s="66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28"/>
      <c r="G635" s="28"/>
      <c r="H635" s="66"/>
      <c r="I635" s="66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28"/>
      <c r="G636" s="28"/>
      <c r="H636" s="66"/>
      <c r="I636" s="66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28"/>
      <c r="G637" s="28"/>
      <c r="H637" s="66"/>
      <c r="I637" s="66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28"/>
      <c r="G638" s="28"/>
      <c r="H638" s="66"/>
      <c r="I638" s="66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28"/>
      <c r="G639" s="28"/>
      <c r="H639" s="66"/>
      <c r="I639" s="66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28"/>
      <c r="G640" s="28"/>
      <c r="H640" s="66"/>
      <c r="I640" s="66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28"/>
      <c r="G641" s="28"/>
      <c r="H641" s="66"/>
      <c r="I641" s="66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28"/>
      <c r="G642" s="28"/>
      <c r="H642" s="66"/>
      <c r="I642" s="66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28"/>
      <c r="G643" s="28"/>
      <c r="H643" s="66"/>
      <c r="I643" s="66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28"/>
      <c r="G644" s="28"/>
      <c r="H644" s="66"/>
      <c r="I644" s="66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28"/>
      <c r="G645" s="28"/>
      <c r="H645" s="66"/>
      <c r="I645" s="66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28"/>
      <c r="G646" s="28"/>
      <c r="H646" s="66"/>
      <c r="I646" s="66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28"/>
      <c r="G647" s="28"/>
      <c r="H647" s="66"/>
      <c r="I647" s="66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28"/>
      <c r="G648" s="28"/>
      <c r="H648" s="66"/>
      <c r="I648" s="66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28"/>
      <c r="G649" s="28"/>
      <c r="H649" s="66"/>
      <c r="I649" s="66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28"/>
      <c r="G650" s="28"/>
      <c r="H650" s="66"/>
      <c r="I650" s="66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28"/>
      <c r="G651" s="28"/>
      <c r="H651" s="66"/>
      <c r="I651" s="66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28"/>
      <c r="G652" s="28"/>
      <c r="H652" s="66"/>
      <c r="I652" s="66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28"/>
      <c r="G653" s="28"/>
      <c r="H653" s="66"/>
      <c r="I653" s="66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28"/>
      <c r="G654" s="28"/>
      <c r="H654" s="66"/>
      <c r="I654" s="66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28"/>
      <c r="G655" s="28"/>
      <c r="H655" s="66"/>
      <c r="I655" s="66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28"/>
      <c r="G656" s="28"/>
      <c r="H656" s="66"/>
      <c r="I656" s="66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28"/>
      <c r="G657" s="28"/>
      <c r="H657" s="66"/>
      <c r="I657" s="66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28"/>
      <c r="G658" s="28"/>
      <c r="H658" s="66"/>
      <c r="I658" s="66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28"/>
      <c r="G659" s="28"/>
      <c r="H659" s="66"/>
      <c r="I659" s="66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28"/>
      <c r="G660" s="28"/>
      <c r="H660" s="66"/>
      <c r="I660" s="66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28"/>
      <c r="G661" s="28"/>
      <c r="H661" s="66"/>
      <c r="I661" s="66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28"/>
      <c r="G662" s="28"/>
      <c r="H662" s="66"/>
      <c r="I662" s="66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28"/>
      <c r="G663" s="28"/>
      <c r="H663" s="66"/>
      <c r="I663" s="66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28"/>
      <c r="G664" s="28"/>
      <c r="H664" s="66"/>
      <c r="I664" s="66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28"/>
      <c r="G665" s="28"/>
      <c r="H665" s="66"/>
      <c r="I665" s="66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28"/>
      <c r="G666" s="28"/>
      <c r="H666" s="66"/>
      <c r="I666" s="66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28"/>
      <c r="G667" s="28"/>
      <c r="H667" s="66"/>
      <c r="I667" s="66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28"/>
      <c r="G668" s="28"/>
      <c r="H668" s="66"/>
      <c r="I668" s="66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28"/>
      <c r="G669" s="28"/>
      <c r="H669" s="66"/>
      <c r="I669" s="66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28"/>
      <c r="G670" s="28"/>
      <c r="H670" s="66"/>
      <c r="I670" s="66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28"/>
      <c r="G671" s="28"/>
      <c r="H671" s="66"/>
      <c r="I671" s="66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28"/>
      <c r="G672" s="28"/>
      <c r="H672" s="66"/>
      <c r="I672" s="66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28"/>
      <c r="G673" s="28"/>
      <c r="H673" s="66"/>
      <c r="I673" s="66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28"/>
      <c r="G674" s="28"/>
      <c r="H674" s="66"/>
      <c r="I674" s="66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28"/>
      <c r="G675" s="28"/>
      <c r="H675" s="66"/>
      <c r="I675" s="66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28"/>
      <c r="G676" s="28"/>
      <c r="H676" s="66"/>
      <c r="I676" s="66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28"/>
      <c r="G677" s="28"/>
      <c r="H677" s="66"/>
      <c r="I677" s="66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28"/>
      <c r="G678" s="28"/>
      <c r="H678" s="66"/>
      <c r="I678" s="66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28"/>
      <c r="G679" s="28"/>
      <c r="H679" s="66"/>
      <c r="I679" s="66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28"/>
      <c r="G680" s="28"/>
      <c r="H680" s="66"/>
      <c r="I680" s="66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28"/>
      <c r="G681" s="28"/>
      <c r="H681" s="66"/>
      <c r="I681" s="66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28"/>
      <c r="G682" s="28"/>
      <c r="H682" s="66"/>
      <c r="I682" s="66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28"/>
      <c r="G683" s="28"/>
      <c r="H683" s="66"/>
      <c r="I683" s="66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28"/>
      <c r="G684" s="28"/>
      <c r="H684" s="66"/>
      <c r="I684" s="66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28"/>
      <c r="G685" s="28"/>
      <c r="H685" s="66"/>
      <c r="I685" s="66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28"/>
      <c r="G686" s="28"/>
      <c r="H686" s="66"/>
      <c r="I686" s="66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28"/>
      <c r="G687" s="28"/>
      <c r="H687" s="66"/>
      <c r="I687" s="66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28"/>
      <c r="G688" s="28"/>
      <c r="H688" s="66"/>
      <c r="I688" s="66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28"/>
      <c r="G689" s="28"/>
      <c r="H689" s="66"/>
      <c r="I689" s="66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28"/>
      <c r="G690" s="28"/>
      <c r="H690" s="66"/>
      <c r="I690" s="66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28"/>
      <c r="G691" s="28"/>
      <c r="H691" s="66"/>
      <c r="I691" s="66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28"/>
      <c r="G692" s="28"/>
      <c r="H692" s="66"/>
      <c r="I692" s="66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28"/>
      <c r="G693" s="28"/>
      <c r="H693" s="66"/>
      <c r="I693" s="66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28"/>
      <c r="G694" s="28"/>
      <c r="H694" s="66"/>
      <c r="I694" s="66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28"/>
      <c r="G695" s="28"/>
      <c r="H695" s="66"/>
      <c r="I695" s="66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28"/>
      <c r="G696" s="28"/>
      <c r="H696" s="66"/>
      <c r="I696" s="66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28"/>
      <c r="G697" s="28"/>
      <c r="H697" s="66"/>
      <c r="I697" s="66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28"/>
      <c r="G698" s="28"/>
      <c r="H698" s="66"/>
      <c r="I698" s="66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28"/>
      <c r="G699" s="28"/>
      <c r="H699" s="66"/>
      <c r="I699" s="66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28"/>
      <c r="G700" s="28"/>
      <c r="H700" s="66"/>
      <c r="I700" s="66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28"/>
      <c r="G701" s="28"/>
      <c r="H701" s="66"/>
      <c r="I701" s="66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28"/>
      <c r="G702" s="28"/>
      <c r="H702" s="66"/>
      <c r="I702" s="66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28"/>
      <c r="G703" s="28"/>
      <c r="H703" s="66"/>
      <c r="I703" s="66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28"/>
      <c r="G704" s="28"/>
      <c r="H704" s="66"/>
      <c r="I704" s="66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28"/>
      <c r="G705" s="28"/>
      <c r="H705" s="66"/>
      <c r="I705" s="66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28"/>
      <c r="G706" s="28"/>
      <c r="H706" s="66"/>
      <c r="I706" s="66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28"/>
      <c r="G707" s="28"/>
      <c r="H707" s="66"/>
      <c r="I707" s="66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28"/>
      <c r="G708" s="28"/>
      <c r="H708" s="66"/>
      <c r="I708" s="66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28"/>
      <c r="G709" s="28"/>
      <c r="H709" s="66"/>
      <c r="I709" s="66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28"/>
      <c r="G710" s="28"/>
      <c r="H710" s="66"/>
      <c r="I710" s="66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28"/>
      <c r="G711" s="28"/>
      <c r="H711" s="66"/>
      <c r="I711" s="66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28"/>
      <c r="G712" s="28"/>
      <c r="H712" s="66"/>
      <c r="I712" s="66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28"/>
      <c r="G713" s="28"/>
      <c r="H713" s="66"/>
      <c r="I713" s="66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28"/>
      <c r="G714" s="28"/>
      <c r="H714" s="66"/>
      <c r="I714" s="66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28"/>
      <c r="G715" s="28"/>
      <c r="H715" s="66"/>
      <c r="I715" s="66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28"/>
      <c r="G716" s="28"/>
      <c r="H716" s="66"/>
      <c r="I716" s="66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28"/>
      <c r="G717" s="28"/>
      <c r="H717" s="66"/>
      <c r="I717" s="66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28"/>
      <c r="G718" s="28"/>
      <c r="H718" s="66"/>
      <c r="I718" s="66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28"/>
      <c r="G719" s="28"/>
      <c r="H719" s="66"/>
      <c r="I719" s="66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28"/>
      <c r="G720" s="28"/>
      <c r="H720" s="66"/>
      <c r="I720" s="66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28"/>
      <c r="G721" s="28"/>
      <c r="H721" s="66"/>
      <c r="I721" s="66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28"/>
      <c r="G722" s="28"/>
      <c r="H722" s="66"/>
      <c r="I722" s="66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28"/>
      <c r="G723" s="28"/>
      <c r="H723" s="66"/>
      <c r="I723" s="66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28"/>
      <c r="G724" s="28"/>
      <c r="H724" s="66"/>
      <c r="I724" s="66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28"/>
      <c r="G725" s="28"/>
      <c r="H725" s="66"/>
      <c r="I725" s="66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28"/>
      <c r="G726" s="28"/>
      <c r="H726" s="66"/>
      <c r="I726" s="66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28"/>
      <c r="G727" s="28"/>
      <c r="H727" s="66"/>
      <c r="I727" s="66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28"/>
      <c r="G728" s="28"/>
      <c r="H728" s="66"/>
      <c r="I728" s="66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28"/>
      <c r="G729" s="28"/>
      <c r="H729" s="66"/>
      <c r="I729" s="66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28"/>
      <c r="G730" s="28"/>
      <c r="H730" s="66"/>
      <c r="I730" s="66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28"/>
      <c r="G731" s="28"/>
      <c r="H731" s="66"/>
      <c r="I731" s="66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28"/>
      <c r="G732" s="28"/>
      <c r="H732" s="66"/>
      <c r="I732" s="66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28"/>
      <c r="G733" s="28"/>
      <c r="H733" s="66"/>
      <c r="I733" s="66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28"/>
      <c r="G734" s="28"/>
      <c r="H734" s="66"/>
      <c r="I734" s="66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28"/>
      <c r="G735" s="28"/>
      <c r="H735" s="66"/>
      <c r="I735" s="66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28"/>
      <c r="G736" s="28"/>
      <c r="H736" s="66"/>
      <c r="I736" s="66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28"/>
      <c r="G737" s="28"/>
      <c r="H737" s="66"/>
      <c r="I737" s="66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28"/>
      <c r="G738" s="28"/>
      <c r="H738" s="66"/>
      <c r="I738" s="66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28"/>
      <c r="G739" s="28"/>
      <c r="H739" s="66"/>
      <c r="I739" s="66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28"/>
      <c r="G740" s="28"/>
      <c r="H740" s="66"/>
      <c r="I740" s="66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28"/>
      <c r="G741" s="28"/>
      <c r="H741" s="66"/>
      <c r="I741" s="66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28"/>
      <c r="G742" s="28"/>
      <c r="H742" s="66"/>
      <c r="I742" s="66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28"/>
      <c r="G743" s="28"/>
      <c r="H743" s="66"/>
      <c r="I743" s="66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28"/>
      <c r="G744" s="28"/>
      <c r="H744" s="66"/>
      <c r="I744" s="66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28"/>
      <c r="G745" s="28"/>
      <c r="H745" s="66"/>
      <c r="I745" s="66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28"/>
      <c r="G746" s="28"/>
      <c r="H746" s="66"/>
      <c r="I746" s="66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28"/>
      <c r="G747" s="28"/>
      <c r="H747" s="66"/>
      <c r="I747" s="66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28"/>
      <c r="G748" s="28"/>
      <c r="H748" s="66"/>
      <c r="I748" s="66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28"/>
      <c r="G749" s="28"/>
      <c r="H749" s="66"/>
      <c r="I749" s="66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28"/>
      <c r="G750" s="28"/>
      <c r="H750" s="66"/>
      <c r="I750" s="66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28"/>
      <c r="G751" s="28"/>
      <c r="H751" s="66"/>
      <c r="I751" s="66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28"/>
      <c r="G752" s="28"/>
      <c r="H752" s="66"/>
      <c r="I752" s="66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28"/>
      <c r="G753" s="28"/>
      <c r="H753" s="66"/>
      <c r="I753" s="66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28"/>
      <c r="G754" s="28"/>
      <c r="H754" s="66"/>
      <c r="I754" s="66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28"/>
      <c r="G755" s="28"/>
      <c r="H755" s="66"/>
      <c r="I755" s="66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28"/>
      <c r="G756" s="28"/>
      <c r="H756" s="66"/>
      <c r="I756" s="66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28"/>
      <c r="G757" s="28"/>
      <c r="H757" s="66"/>
      <c r="I757" s="66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28"/>
      <c r="G758" s="28"/>
      <c r="H758" s="66"/>
      <c r="I758" s="66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28"/>
      <c r="G759" s="28"/>
      <c r="H759" s="66"/>
      <c r="I759" s="66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28"/>
      <c r="G760" s="28"/>
      <c r="H760" s="66"/>
      <c r="I760" s="66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28"/>
      <c r="G761" s="28"/>
      <c r="H761" s="66"/>
      <c r="I761" s="66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28"/>
      <c r="G762" s="28"/>
      <c r="H762" s="66"/>
      <c r="I762" s="66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28"/>
      <c r="G763" s="28"/>
      <c r="H763" s="66"/>
      <c r="I763" s="66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28"/>
      <c r="G764" s="28"/>
      <c r="H764" s="66"/>
      <c r="I764" s="66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28"/>
      <c r="G765" s="28"/>
      <c r="H765" s="66"/>
      <c r="I765" s="66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28"/>
      <c r="G766" s="28"/>
      <c r="H766" s="66"/>
      <c r="I766" s="66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28"/>
      <c r="G767" s="28"/>
      <c r="H767" s="66"/>
      <c r="I767" s="66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28"/>
      <c r="G768" s="28"/>
      <c r="H768" s="66"/>
      <c r="I768" s="66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28"/>
      <c r="G769" s="28"/>
      <c r="H769" s="66"/>
      <c r="I769" s="66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28"/>
      <c r="G770" s="28"/>
      <c r="H770" s="66"/>
      <c r="I770" s="66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28"/>
      <c r="G771" s="28"/>
      <c r="H771" s="66"/>
      <c r="I771" s="66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28"/>
      <c r="G772" s="28"/>
      <c r="H772" s="66"/>
      <c r="I772" s="66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28"/>
      <c r="G773" s="28"/>
      <c r="H773" s="66"/>
      <c r="I773" s="66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28"/>
      <c r="G774" s="28"/>
      <c r="H774" s="66"/>
      <c r="I774" s="66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28"/>
      <c r="G775" s="28"/>
      <c r="H775" s="66"/>
      <c r="I775" s="66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28"/>
      <c r="G776" s="28"/>
      <c r="H776" s="66"/>
      <c r="I776" s="66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28"/>
      <c r="G777" s="28"/>
      <c r="H777" s="66"/>
      <c r="I777" s="66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28"/>
      <c r="G778" s="28"/>
      <c r="H778" s="66"/>
      <c r="I778" s="66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28"/>
      <c r="G779" s="28"/>
      <c r="H779" s="66"/>
      <c r="I779" s="66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28"/>
      <c r="G780" s="28"/>
      <c r="H780" s="66"/>
      <c r="I780" s="66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28"/>
      <c r="G781" s="28"/>
      <c r="H781" s="66"/>
      <c r="I781" s="66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28"/>
      <c r="G782" s="28"/>
      <c r="H782" s="66"/>
      <c r="I782" s="66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28"/>
      <c r="G783" s="28"/>
      <c r="H783" s="66"/>
      <c r="I783" s="66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28"/>
      <c r="G784" s="28"/>
      <c r="H784" s="66"/>
      <c r="I784" s="66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28"/>
      <c r="G785" s="28"/>
      <c r="H785" s="66"/>
      <c r="I785" s="66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28"/>
      <c r="G786" s="28"/>
      <c r="H786" s="66"/>
      <c r="I786" s="66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28"/>
      <c r="G787" s="28"/>
      <c r="H787" s="66"/>
      <c r="I787" s="66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28"/>
      <c r="G788" s="28"/>
      <c r="H788" s="66"/>
      <c r="I788" s="66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28"/>
      <c r="G789" s="28"/>
      <c r="H789" s="66"/>
      <c r="I789" s="66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28"/>
      <c r="G790" s="28"/>
      <c r="H790" s="66"/>
      <c r="I790" s="66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28"/>
      <c r="G791" s="28"/>
      <c r="H791" s="66"/>
      <c r="I791" s="66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28"/>
      <c r="G792" s="28"/>
      <c r="H792" s="66"/>
      <c r="I792" s="66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28"/>
      <c r="G793" s="28"/>
      <c r="H793" s="66"/>
      <c r="I793" s="66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28"/>
      <c r="G794" s="28"/>
      <c r="H794" s="66"/>
      <c r="I794" s="66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28"/>
      <c r="G795" s="28"/>
      <c r="H795" s="66"/>
      <c r="I795" s="66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28"/>
      <c r="G796" s="28"/>
      <c r="H796" s="66"/>
      <c r="I796" s="66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28"/>
      <c r="G797" s="28"/>
      <c r="H797" s="66"/>
      <c r="I797" s="66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28"/>
      <c r="G798" s="28"/>
      <c r="H798" s="66"/>
      <c r="I798" s="66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28"/>
      <c r="G799" s="28"/>
      <c r="H799" s="66"/>
      <c r="I799" s="66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28"/>
      <c r="G800" s="28"/>
      <c r="H800" s="66"/>
      <c r="I800" s="66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28"/>
      <c r="G801" s="28"/>
      <c r="H801" s="66"/>
      <c r="I801" s="66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28"/>
      <c r="G802" s="28"/>
      <c r="H802" s="66"/>
      <c r="I802" s="66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28"/>
      <c r="G803" s="28"/>
      <c r="H803" s="66"/>
      <c r="I803" s="66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28"/>
      <c r="G804" s="28"/>
      <c r="H804" s="66"/>
      <c r="I804" s="66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28"/>
      <c r="G805" s="28"/>
      <c r="H805" s="66"/>
      <c r="I805" s="66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28"/>
      <c r="G806" s="28"/>
      <c r="H806" s="66"/>
      <c r="I806" s="66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28"/>
      <c r="G807" s="28"/>
      <c r="H807" s="66"/>
      <c r="I807" s="66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28"/>
      <c r="G808" s="28"/>
      <c r="H808" s="66"/>
      <c r="I808" s="66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28"/>
      <c r="G809" s="28"/>
      <c r="H809" s="66"/>
      <c r="I809" s="66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28"/>
      <c r="G810" s="28"/>
      <c r="H810" s="66"/>
      <c r="I810" s="66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28"/>
      <c r="G811" s="28"/>
      <c r="H811" s="66"/>
      <c r="I811" s="66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28"/>
      <c r="G812" s="28"/>
      <c r="H812" s="66"/>
      <c r="I812" s="66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28"/>
      <c r="G813" s="28"/>
      <c r="H813" s="66"/>
      <c r="I813" s="66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28"/>
      <c r="G814" s="28"/>
      <c r="H814" s="66"/>
      <c r="I814" s="66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28"/>
      <c r="G815" s="28"/>
      <c r="H815" s="66"/>
      <c r="I815" s="66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28"/>
      <c r="G816" s="28"/>
      <c r="H816" s="66"/>
      <c r="I816" s="66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28"/>
      <c r="G817" s="28"/>
      <c r="H817" s="66"/>
      <c r="I817" s="66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28"/>
      <c r="G818" s="28"/>
      <c r="H818" s="66"/>
      <c r="I818" s="66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28"/>
      <c r="G819" s="28"/>
      <c r="H819" s="66"/>
      <c r="I819" s="66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28"/>
      <c r="G820" s="28"/>
      <c r="H820" s="66"/>
      <c r="I820" s="66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28"/>
      <c r="G821" s="28"/>
      <c r="H821" s="66"/>
      <c r="I821" s="66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28"/>
      <c r="G822" s="28"/>
      <c r="H822" s="66"/>
      <c r="I822" s="66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28"/>
      <c r="G823" s="28"/>
      <c r="H823" s="66"/>
      <c r="I823" s="66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28"/>
      <c r="G824" s="28"/>
      <c r="H824" s="66"/>
      <c r="I824" s="66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28"/>
      <c r="G825" s="28"/>
      <c r="H825" s="66"/>
      <c r="I825" s="66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28"/>
      <c r="G826" s="28"/>
      <c r="H826" s="66"/>
      <c r="I826" s="66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28"/>
      <c r="G827" s="28"/>
      <c r="H827" s="66"/>
      <c r="I827" s="66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28"/>
      <c r="G828" s="28"/>
      <c r="H828" s="66"/>
      <c r="I828" s="66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28"/>
      <c r="G829" s="28"/>
      <c r="H829" s="66"/>
      <c r="I829" s="66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28"/>
      <c r="G830" s="28"/>
      <c r="H830" s="66"/>
      <c r="I830" s="66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28"/>
      <c r="G831" s="28"/>
      <c r="H831" s="66"/>
      <c r="I831" s="66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28"/>
      <c r="G832" s="28"/>
      <c r="H832" s="66"/>
      <c r="I832" s="66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28"/>
      <c r="G833" s="28"/>
      <c r="H833" s="66"/>
      <c r="I833" s="66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28"/>
      <c r="G834" s="28"/>
      <c r="H834" s="66"/>
      <c r="I834" s="66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28"/>
      <c r="G835" s="28"/>
      <c r="H835" s="66"/>
      <c r="I835" s="66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28"/>
      <c r="G836" s="28"/>
      <c r="H836" s="66"/>
      <c r="I836" s="66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28"/>
      <c r="G837" s="28"/>
      <c r="H837" s="66"/>
      <c r="I837" s="66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28"/>
      <c r="G838" s="28"/>
      <c r="H838" s="66"/>
      <c r="I838" s="66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28"/>
      <c r="G839" s="28"/>
      <c r="H839" s="66"/>
      <c r="I839" s="66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28"/>
      <c r="G840" s="28"/>
      <c r="H840" s="66"/>
      <c r="I840" s="66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28"/>
      <c r="G841" s="28"/>
      <c r="H841" s="66"/>
      <c r="I841" s="66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28"/>
      <c r="G842" s="28"/>
      <c r="H842" s="66"/>
      <c r="I842" s="66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28"/>
      <c r="G843" s="28"/>
      <c r="H843" s="66"/>
      <c r="I843" s="66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28"/>
      <c r="G844" s="28"/>
      <c r="H844" s="66"/>
      <c r="I844" s="66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28"/>
      <c r="G845" s="28"/>
      <c r="H845" s="66"/>
      <c r="I845" s="66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28"/>
      <c r="G846" s="28"/>
      <c r="H846" s="66"/>
      <c r="I846" s="66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28"/>
      <c r="G847" s="28"/>
      <c r="H847" s="66"/>
      <c r="I847" s="66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28"/>
      <c r="G848" s="28"/>
      <c r="H848" s="66"/>
      <c r="I848" s="66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28"/>
      <c r="G849" s="28"/>
      <c r="H849" s="66"/>
      <c r="I849" s="66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28"/>
      <c r="G850" s="28"/>
      <c r="H850" s="66"/>
      <c r="I850" s="66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28"/>
      <c r="G851" s="28"/>
      <c r="H851" s="66"/>
      <c r="I851" s="66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28"/>
      <c r="G852" s="28"/>
      <c r="H852" s="66"/>
      <c r="I852" s="66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28"/>
      <c r="G853" s="28"/>
      <c r="H853" s="66"/>
      <c r="I853" s="66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28"/>
      <c r="G854" s="28"/>
      <c r="H854" s="66"/>
      <c r="I854" s="66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28"/>
      <c r="G855" s="28"/>
      <c r="H855" s="66"/>
      <c r="I855" s="66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28"/>
      <c r="G856" s="28"/>
      <c r="H856" s="66"/>
      <c r="I856" s="66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28"/>
      <c r="G857" s="28"/>
      <c r="H857" s="66"/>
      <c r="I857" s="66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28"/>
      <c r="G858" s="28"/>
      <c r="H858" s="66"/>
      <c r="I858" s="66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28"/>
      <c r="G859" s="28"/>
      <c r="H859" s="66"/>
      <c r="I859" s="66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28"/>
      <c r="G860" s="28"/>
      <c r="H860" s="66"/>
      <c r="I860" s="66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28"/>
      <c r="G861" s="28"/>
      <c r="H861" s="66"/>
      <c r="I861" s="66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28"/>
      <c r="G862" s="28"/>
      <c r="H862" s="66"/>
      <c r="I862" s="66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28"/>
      <c r="G863" s="28"/>
      <c r="H863" s="66"/>
      <c r="I863" s="66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28"/>
      <c r="G864" s="28"/>
      <c r="H864" s="66"/>
      <c r="I864" s="66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28"/>
      <c r="G865" s="28"/>
      <c r="H865" s="66"/>
      <c r="I865" s="66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28"/>
      <c r="G866" s="28"/>
      <c r="H866" s="66"/>
      <c r="I866" s="66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28"/>
      <c r="G867" s="28"/>
      <c r="H867" s="66"/>
      <c r="I867" s="66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28"/>
      <c r="G868" s="28"/>
      <c r="H868" s="66"/>
      <c r="I868" s="66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28"/>
      <c r="G869" s="28"/>
      <c r="H869" s="66"/>
      <c r="I869" s="66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28"/>
      <c r="G870" s="28"/>
      <c r="H870" s="66"/>
      <c r="I870" s="66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28"/>
      <c r="G871" s="28"/>
      <c r="H871" s="66"/>
      <c r="I871" s="66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28"/>
      <c r="G872" s="28"/>
      <c r="H872" s="66"/>
      <c r="I872" s="66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28"/>
      <c r="G873" s="28"/>
      <c r="H873" s="66"/>
      <c r="I873" s="66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28"/>
      <c r="G874" s="28"/>
      <c r="H874" s="66"/>
      <c r="I874" s="66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28"/>
      <c r="G875" s="28"/>
      <c r="H875" s="66"/>
      <c r="I875" s="66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28"/>
      <c r="G876" s="28"/>
      <c r="H876" s="66"/>
      <c r="I876" s="66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28"/>
      <c r="G877" s="28"/>
      <c r="H877" s="66"/>
      <c r="I877" s="66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28"/>
      <c r="G878" s="28"/>
      <c r="H878" s="66"/>
      <c r="I878" s="66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28"/>
      <c r="G879" s="28"/>
      <c r="H879" s="66"/>
      <c r="I879" s="66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28"/>
      <c r="G880" s="28"/>
      <c r="H880" s="66"/>
      <c r="I880" s="66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28"/>
      <c r="G881" s="28"/>
      <c r="H881" s="66"/>
      <c r="I881" s="66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28"/>
      <c r="G882" s="28"/>
      <c r="H882" s="66"/>
      <c r="I882" s="66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28"/>
      <c r="G883" s="28"/>
      <c r="H883" s="66"/>
      <c r="I883" s="66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28"/>
      <c r="G884" s="28"/>
      <c r="H884" s="66"/>
      <c r="I884" s="66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28"/>
      <c r="G885" s="28"/>
      <c r="H885" s="66"/>
      <c r="I885" s="66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28"/>
      <c r="G886" s="28"/>
      <c r="H886" s="66"/>
      <c r="I886" s="66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28"/>
      <c r="G887" s="28"/>
      <c r="H887" s="66"/>
      <c r="I887" s="66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28"/>
      <c r="G888" s="28"/>
      <c r="H888" s="66"/>
      <c r="I888" s="66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28"/>
      <c r="G889" s="28"/>
      <c r="H889" s="66"/>
      <c r="I889" s="66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28"/>
      <c r="G890" s="28"/>
      <c r="H890" s="66"/>
      <c r="I890" s="66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28"/>
      <c r="G891" s="28"/>
      <c r="H891" s="66"/>
      <c r="I891" s="66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28"/>
      <c r="G892" s="28"/>
      <c r="H892" s="66"/>
      <c r="I892" s="66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28"/>
      <c r="G893" s="28"/>
      <c r="H893" s="66"/>
      <c r="I893" s="66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28"/>
      <c r="G894" s="28"/>
      <c r="H894" s="66"/>
      <c r="I894" s="66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28"/>
      <c r="G895" s="28"/>
      <c r="H895" s="66"/>
      <c r="I895" s="66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28"/>
      <c r="G896" s="28"/>
      <c r="H896" s="66"/>
      <c r="I896" s="66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28"/>
      <c r="G897" s="28"/>
      <c r="H897" s="66"/>
      <c r="I897" s="66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28"/>
      <c r="G898" s="28"/>
      <c r="H898" s="66"/>
      <c r="I898" s="66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28"/>
      <c r="G899" s="28"/>
      <c r="H899" s="66"/>
      <c r="I899" s="66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28"/>
      <c r="G900" s="28"/>
      <c r="H900" s="66"/>
      <c r="I900" s="66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28"/>
      <c r="G901" s="28"/>
      <c r="H901" s="66"/>
      <c r="I901" s="66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28"/>
      <c r="G902" s="28"/>
      <c r="H902" s="66"/>
      <c r="I902" s="66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28"/>
      <c r="G903" s="28"/>
      <c r="H903" s="66"/>
      <c r="I903" s="66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28"/>
      <c r="G904" s="28"/>
      <c r="H904" s="66"/>
      <c r="I904" s="66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28"/>
      <c r="G905" s="28"/>
      <c r="H905" s="66"/>
      <c r="I905" s="66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28"/>
      <c r="G906" s="28"/>
      <c r="H906" s="66"/>
      <c r="I906" s="66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28"/>
      <c r="G907" s="28"/>
      <c r="H907" s="66"/>
      <c r="I907" s="66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28"/>
      <c r="G908" s="28"/>
      <c r="H908" s="66"/>
      <c r="I908" s="66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28"/>
      <c r="G909" s="28"/>
      <c r="H909" s="66"/>
      <c r="I909" s="66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28"/>
      <c r="G910" s="28"/>
      <c r="H910" s="66"/>
      <c r="I910" s="66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28"/>
      <c r="G911" s="28"/>
      <c r="H911" s="66"/>
      <c r="I911" s="66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28"/>
      <c r="G912" s="28"/>
      <c r="H912" s="66"/>
      <c r="I912" s="66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28"/>
      <c r="G913" s="28"/>
      <c r="H913" s="66"/>
      <c r="I913" s="66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28"/>
      <c r="G914" s="28"/>
      <c r="H914" s="66"/>
      <c r="I914" s="66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28"/>
      <c r="G915" s="28"/>
      <c r="H915" s="66"/>
      <c r="I915" s="66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28"/>
      <c r="G916" s="28"/>
      <c r="H916" s="66"/>
      <c r="I916" s="66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28"/>
      <c r="G917" s="28"/>
      <c r="H917" s="66"/>
      <c r="I917" s="66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28"/>
      <c r="G918" s="28"/>
      <c r="H918" s="66"/>
      <c r="I918" s="66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28"/>
      <c r="G919" s="28"/>
      <c r="H919" s="66"/>
      <c r="I919" s="66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28"/>
      <c r="G920" s="28"/>
      <c r="H920" s="66"/>
      <c r="I920" s="66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28"/>
      <c r="G921" s="28"/>
      <c r="H921" s="66"/>
      <c r="I921" s="66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28"/>
      <c r="G922" s="28"/>
      <c r="H922" s="66"/>
      <c r="I922" s="66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28"/>
      <c r="G923" s="28"/>
      <c r="H923" s="66"/>
      <c r="I923" s="66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28"/>
      <c r="G924" s="28"/>
      <c r="H924" s="66"/>
      <c r="I924" s="66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28"/>
      <c r="G925" s="28"/>
      <c r="H925" s="66"/>
      <c r="I925" s="66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28"/>
      <c r="G926" s="28"/>
      <c r="H926" s="66"/>
      <c r="I926" s="66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28"/>
      <c r="G927" s="28"/>
      <c r="H927" s="66"/>
      <c r="I927" s="66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28"/>
      <c r="G928" s="28"/>
      <c r="H928" s="66"/>
      <c r="I928" s="66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28"/>
      <c r="G929" s="28"/>
      <c r="H929" s="66"/>
      <c r="I929" s="66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28"/>
      <c r="G930" s="28"/>
      <c r="H930" s="66"/>
      <c r="I930" s="66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28"/>
      <c r="G931" s="28"/>
      <c r="H931" s="66"/>
      <c r="I931" s="66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28"/>
      <c r="G932" s="28"/>
      <c r="H932" s="66"/>
      <c r="I932" s="66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28"/>
      <c r="G933" s="28"/>
      <c r="H933" s="66"/>
      <c r="I933" s="66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28"/>
      <c r="G934" s="28"/>
      <c r="H934" s="66"/>
      <c r="I934" s="66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28"/>
      <c r="G935" s="28"/>
      <c r="H935" s="66"/>
      <c r="I935" s="66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28"/>
      <c r="G936" s="28"/>
      <c r="H936" s="66"/>
      <c r="I936" s="66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28"/>
      <c r="G937" s="28"/>
      <c r="H937" s="66"/>
      <c r="I937" s="66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28"/>
      <c r="G938" s="28"/>
      <c r="H938" s="66"/>
      <c r="I938" s="66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28"/>
      <c r="G939" s="28"/>
      <c r="H939" s="66"/>
      <c r="I939" s="66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28"/>
      <c r="G940" s="28"/>
      <c r="H940" s="66"/>
      <c r="I940" s="66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28"/>
      <c r="G941" s="28"/>
      <c r="H941" s="66"/>
      <c r="I941" s="66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28"/>
      <c r="G942" s="28"/>
      <c r="H942" s="66"/>
      <c r="I942" s="66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28"/>
      <c r="G943" s="28"/>
      <c r="H943" s="66"/>
      <c r="I943" s="66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28"/>
      <c r="G944" s="28"/>
      <c r="H944" s="66"/>
      <c r="I944" s="66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28"/>
      <c r="G945" s="28"/>
      <c r="H945" s="66"/>
      <c r="I945" s="66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28"/>
      <c r="G946" s="28"/>
      <c r="H946" s="66"/>
      <c r="I946" s="66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28"/>
      <c r="G947" s="28"/>
      <c r="H947" s="66"/>
      <c r="I947" s="66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28"/>
      <c r="G948" s="28"/>
      <c r="H948" s="66"/>
      <c r="I948" s="66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28"/>
      <c r="G949" s="28"/>
      <c r="H949" s="66"/>
      <c r="I949" s="66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28"/>
      <c r="G950" s="28"/>
      <c r="H950" s="66"/>
      <c r="I950" s="66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28"/>
      <c r="G951" s="28"/>
      <c r="H951" s="66"/>
      <c r="I951" s="66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28"/>
      <c r="G952" s="28"/>
      <c r="H952" s="66"/>
      <c r="I952" s="66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28"/>
      <c r="G953" s="28"/>
      <c r="H953" s="66"/>
      <c r="I953" s="66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28"/>
      <c r="G954" s="28"/>
      <c r="H954" s="66"/>
      <c r="I954" s="66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28"/>
      <c r="G955" s="28"/>
      <c r="H955" s="66"/>
      <c r="I955" s="66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28"/>
      <c r="G956" s="28"/>
      <c r="H956" s="66"/>
      <c r="I956" s="66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28"/>
      <c r="G957" s="28"/>
      <c r="H957" s="66"/>
      <c r="I957" s="66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28"/>
      <c r="G958" s="28"/>
      <c r="H958" s="66"/>
      <c r="I958" s="66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28"/>
      <c r="G959" s="28"/>
      <c r="H959" s="66"/>
      <c r="I959" s="66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28"/>
      <c r="G960" s="28"/>
      <c r="H960" s="66"/>
      <c r="I960" s="66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28"/>
      <c r="G961" s="28"/>
      <c r="H961" s="66"/>
      <c r="I961" s="66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28"/>
      <c r="G962" s="28"/>
      <c r="H962" s="66"/>
      <c r="I962" s="66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28"/>
      <c r="G963" s="28"/>
      <c r="H963" s="66"/>
      <c r="I963" s="66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28"/>
      <c r="G964" s="28"/>
      <c r="H964" s="66"/>
      <c r="I964" s="66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28"/>
      <c r="G965" s="28"/>
      <c r="H965" s="66"/>
      <c r="I965" s="66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28"/>
      <c r="G966" s="28"/>
      <c r="H966" s="66"/>
      <c r="I966" s="66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28"/>
      <c r="G967" s="28"/>
      <c r="H967" s="66"/>
      <c r="I967" s="66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28"/>
      <c r="G968" s="28"/>
      <c r="H968" s="66"/>
      <c r="I968" s="66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28"/>
      <c r="G969" s="28"/>
      <c r="H969" s="66"/>
      <c r="I969" s="66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28"/>
      <c r="G970" s="28"/>
      <c r="H970" s="66"/>
      <c r="I970" s="66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28"/>
      <c r="G971" s="28"/>
      <c r="H971" s="66"/>
      <c r="I971" s="66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28"/>
      <c r="G972" s="28"/>
      <c r="H972" s="66"/>
      <c r="I972" s="66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28"/>
      <c r="G973" s="28"/>
      <c r="H973" s="66"/>
      <c r="I973" s="66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28"/>
      <c r="G974" s="28"/>
      <c r="H974" s="66"/>
      <c r="I974" s="66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28"/>
      <c r="G975" s="28"/>
      <c r="H975" s="66"/>
      <c r="I975" s="66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28"/>
      <c r="G976" s="28"/>
      <c r="H976" s="66"/>
      <c r="I976" s="66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28"/>
      <c r="G977" s="28"/>
      <c r="H977" s="66"/>
      <c r="I977" s="66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28"/>
      <c r="G978" s="28"/>
      <c r="H978" s="66"/>
      <c r="I978" s="66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28"/>
      <c r="G979" s="28"/>
      <c r="H979" s="66"/>
      <c r="I979" s="66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28"/>
      <c r="G980" s="28"/>
      <c r="H980" s="66"/>
      <c r="I980" s="66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28"/>
      <c r="G981" s="28"/>
      <c r="H981" s="66"/>
      <c r="I981" s="66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28"/>
      <c r="G982" s="28"/>
      <c r="H982" s="66"/>
      <c r="I982" s="66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28"/>
      <c r="G983" s="28"/>
      <c r="H983" s="66"/>
      <c r="I983" s="66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28"/>
      <c r="G984" s="28"/>
      <c r="H984" s="66"/>
      <c r="I984" s="66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28"/>
      <c r="G985" s="28"/>
      <c r="H985" s="66"/>
      <c r="I985" s="66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28"/>
      <c r="G986" s="28"/>
      <c r="H986" s="66"/>
      <c r="I986" s="66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28"/>
      <c r="G987" s="28"/>
      <c r="H987" s="66"/>
      <c r="I987" s="66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28"/>
      <c r="G988" s="28"/>
      <c r="H988" s="66"/>
      <c r="I988" s="66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28"/>
      <c r="G989" s="28"/>
      <c r="H989" s="66"/>
      <c r="I989" s="66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28"/>
      <c r="G990" s="28"/>
      <c r="H990" s="66"/>
      <c r="I990" s="66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28"/>
      <c r="G991" s="28"/>
      <c r="H991" s="66"/>
      <c r="I991" s="66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28"/>
      <c r="G992" s="28"/>
      <c r="H992" s="66"/>
      <c r="I992" s="66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28"/>
      <c r="G993" s="28"/>
      <c r="H993" s="66"/>
      <c r="I993" s="66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28"/>
      <c r="G994" s="28"/>
      <c r="H994" s="66"/>
      <c r="I994" s="66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28"/>
      <c r="G995" s="28"/>
      <c r="H995" s="66"/>
      <c r="I995" s="66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28"/>
      <c r="G996" s="28"/>
      <c r="H996" s="66"/>
      <c r="I996" s="66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28"/>
      <c r="G997" s="28"/>
      <c r="H997" s="66"/>
      <c r="I997" s="66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28"/>
      <c r="G998" s="28"/>
      <c r="H998" s="66"/>
      <c r="I998" s="66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28"/>
      <c r="G999" s="28"/>
      <c r="H999" s="66"/>
      <c r="I999" s="66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>
      <c r="A1000" s="28"/>
      <c r="B1000" s="28"/>
      <c r="C1000" s="28"/>
      <c r="D1000" s="28"/>
      <c r="E1000" s="28"/>
      <c r="F1000" s="28"/>
      <c r="G1000" s="28"/>
      <c r="H1000" s="66"/>
      <c r="I1000" s="66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>
      <c r="A1001" s="28"/>
      <c r="B1001" s="28"/>
      <c r="C1001" s="28"/>
      <c r="D1001" s="28"/>
      <c r="E1001" s="28"/>
      <c r="F1001" s="28"/>
      <c r="G1001" s="28"/>
      <c r="H1001" s="66"/>
      <c r="I1001" s="66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>
      <c r="A1002" s="28"/>
      <c r="B1002" s="28"/>
      <c r="C1002" s="28"/>
      <c r="D1002" s="28"/>
      <c r="E1002" s="28"/>
      <c r="F1002" s="28"/>
      <c r="G1002" s="28"/>
      <c r="H1002" s="66"/>
      <c r="I1002" s="66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</sheetData>
  <autoFilter ref="$A$4:$AC$21"/>
  <mergeCells count="12">
    <mergeCell ref="G2:G3"/>
    <mergeCell ref="H2:I2"/>
    <mergeCell ref="J2:K2"/>
    <mergeCell ref="L2:M2"/>
    <mergeCell ref="A1:AC1"/>
    <mergeCell ref="A2:A3"/>
    <mergeCell ref="B2:B3"/>
    <mergeCell ref="C2:C3"/>
    <mergeCell ref="D2:D3"/>
    <mergeCell ref="E2:E3"/>
    <mergeCell ref="F2:F3"/>
    <mergeCell ref="N2:O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4" width="7.88"/>
    <col customWidth="1" min="5" max="5" width="9.88"/>
    <col customWidth="1" min="6" max="6" width="6.13"/>
    <col customWidth="1" min="7" max="7" width="9.25"/>
  </cols>
  <sheetData>
    <row r="1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12"/>
    </row>
    <row r="2">
      <c r="A2" s="14" t="s">
        <v>0</v>
      </c>
      <c r="B2" s="14" t="s">
        <v>2</v>
      </c>
      <c r="C2" s="14" t="s">
        <v>3</v>
      </c>
      <c r="D2" s="17" t="s">
        <v>4</v>
      </c>
      <c r="E2" s="17" t="s">
        <v>5</v>
      </c>
      <c r="F2" s="20" t="s">
        <v>14</v>
      </c>
      <c r="G2" s="17" t="s">
        <v>7</v>
      </c>
      <c r="H2" s="24" t="s">
        <v>13</v>
      </c>
      <c r="I2" s="12"/>
      <c r="J2" s="26" t="s">
        <v>19</v>
      </c>
      <c r="K2" s="12"/>
      <c r="L2" s="23" t="s">
        <v>18</v>
      </c>
      <c r="M2" s="12"/>
      <c r="N2" s="23" t="s">
        <v>20</v>
      </c>
      <c r="O2" s="1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0"/>
      <c r="B3" s="30"/>
      <c r="C3" s="30"/>
      <c r="D3" s="30"/>
      <c r="E3" s="30"/>
      <c r="F3" s="30"/>
      <c r="G3" s="30"/>
      <c r="H3" s="31" t="s">
        <v>31</v>
      </c>
      <c r="I3" s="31" t="s">
        <v>32</v>
      </c>
      <c r="J3" s="33" t="s">
        <v>9</v>
      </c>
      <c r="K3" s="33" t="s">
        <v>32</v>
      </c>
      <c r="L3" s="33" t="s">
        <v>9</v>
      </c>
      <c r="M3" s="33" t="s">
        <v>32</v>
      </c>
      <c r="N3" s="34" t="s">
        <v>11</v>
      </c>
      <c r="O3" s="33" t="s">
        <v>32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>
      <c r="A4" s="36"/>
      <c r="B4" s="37"/>
      <c r="C4" s="38"/>
      <c r="D4" s="39"/>
      <c r="E4" s="39"/>
      <c r="F4" s="39"/>
      <c r="G4" s="40"/>
      <c r="H4" s="41"/>
      <c r="I4" s="41"/>
      <c r="J4" s="39"/>
      <c r="K4" s="39"/>
      <c r="L4" s="39"/>
      <c r="M4" s="3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37">
        <v>68.0</v>
      </c>
      <c r="B5" s="37" t="s">
        <v>79</v>
      </c>
      <c r="C5" s="38" t="s">
        <v>80</v>
      </c>
      <c r="D5" s="39"/>
      <c r="E5" s="39"/>
      <c r="F5" s="39"/>
      <c r="G5" s="40">
        <v>18109.0</v>
      </c>
      <c r="H5" s="41">
        <v>200.0</v>
      </c>
      <c r="I5" s="48">
        <v>45942.0</v>
      </c>
      <c r="J5" s="25">
        <v>46223.0</v>
      </c>
      <c r="K5" s="38">
        <v>200.0</v>
      </c>
      <c r="L5" s="47">
        <v>45942.0</v>
      </c>
      <c r="M5" s="38">
        <v>100.0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37">
        <v>71.0</v>
      </c>
      <c r="B6" s="37" t="s">
        <v>85</v>
      </c>
      <c r="C6" s="38" t="s">
        <v>86</v>
      </c>
      <c r="D6" s="39"/>
      <c r="E6" s="39"/>
      <c r="F6" s="39"/>
      <c r="G6" s="40">
        <v>18109.0</v>
      </c>
      <c r="H6" s="41">
        <v>200.0</v>
      </c>
      <c r="I6" s="48">
        <v>45942.0</v>
      </c>
      <c r="J6" s="25">
        <v>46223.0</v>
      </c>
      <c r="K6" s="38">
        <v>200.0</v>
      </c>
      <c r="L6" s="47">
        <v>45942.0</v>
      </c>
      <c r="M6" s="38">
        <v>100.0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37">
        <v>72.0</v>
      </c>
      <c r="B7" s="37" t="s">
        <v>85</v>
      </c>
      <c r="C7" s="38" t="s">
        <v>89</v>
      </c>
      <c r="D7" s="39"/>
      <c r="E7" s="39"/>
      <c r="F7" s="39"/>
      <c r="G7" s="40">
        <v>18109.0</v>
      </c>
      <c r="H7" s="41">
        <v>200.0</v>
      </c>
      <c r="I7" s="48">
        <v>45942.0</v>
      </c>
      <c r="J7" s="25">
        <v>46223.0</v>
      </c>
      <c r="K7" s="38">
        <v>200.0</v>
      </c>
      <c r="L7" s="47">
        <v>45942.0</v>
      </c>
      <c r="M7" s="38">
        <v>100.0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37">
        <v>94.0</v>
      </c>
      <c r="B8" s="37" t="s">
        <v>71</v>
      </c>
      <c r="C8" s="38" t="s">
        <v>72</v>
      </c>
      <c r="D8" s="39"/>
      <c r="E8" s="39"/>
      <c r="F8" s="39"/>
      <c r="G8" s="40">
        <v>18109.0</v>
      </c>
      <c r="H8" s="41">
        <v>200.0</v>
      </c>
      <c r="I8" s="70">
        <v>46078.0</v>
      </c>
      <c r="J8" s="25">
        <v>46223.0</v>
      </c>
      <c r="K8" s="38">
        <v>200.0</v>
      </c>
      <c r="L8" s="71"/>
      <c r="M8" s="71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37">
        <v>73.0</v>
      </c>
      <c r="B9" s="37" t="s">
        <v>71</v>
      </c>
      <c r="C9" s="38" t="s">
        <v>90</v>
      </c>
      <c r="D9" s="39"/>
      <c r="E9" s="39"/>
      <c r="F9" s="39"/>
      <c r="G9" s="40">
        <v>18109.0</v>
      </c>
      <c r="H9" s="41">
        <v>200.0</v>
      </c>
      <c r="I9" s="48">
        <v>45942.0</v>
      </c>
      <c r="J9" s="25">
        <v>46223.0</v>
      </c>
      <c r="K9" s="38">
        <v>200.0</v>
      </c>
      <c r="L9" s="47">
        <v>45942.0</v>
      </c>
      <c r="M9" s="38">
        <v>100.0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37">
        <v>74.0</v>
      </c>
      <c r="B10" s="37" t="s">
        <v>71</v>
      </c>
      <c r="C10" s="38" t="s">
        <v>93</v>
      </c>
      <c r="D10" s="39"/>
      <c r="E10" s="39"/>
      <c r="F10" s="39"/>
      <c r="G10" s="40">
        <v>18109.0</v>
      </c>
      <c r="H10" s="41">
        <v>200.0</v>
      </c>
      <c r="I10" s="48">
        <v>45942.0</v>
      </c>
      <c r="J10" s="25">
        <v>46223.0</v>
      </c>
      <c r="K10" s="38">
        <v>200.0</v>
      </c>
      <c r="L10" s="47">
        <v>45942.0</v>
      </c>
      <c r="M10" s="38">
        <v>100.0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37">
        <v>91.0</v>
      </c>
      <c r="B11" s="37" t="s">
        <v>60</v>
      </c>
      <c r="C11" s="38" t="s">
        <v>61</v>
      </c>
      <c r="D11" s="39"/>
      <c r="E11" s="39"/>
      <c r="F11" s="39"/>
      <c r="G11" s="40">
        <v>18109.0</v>
      </c>
      <c r="H11" s="41">
        <v>200.0</v>
      </c>
      <c r="I11" s="70">
        <v>46078.0</v>
      </c>
      <c r="J11" s="25">
        <v>46223.0</v>
      </c>
      <c r="K11" s="38">
        <v>200.0</v>
      </c>
      <c r="L11" s="71"/>
      <c r="M11" s="71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37">
        <v>85.0</v>
      </c>
      <c r="B12" s="37" t="s">
        <v>44</v>
      </c>
      <c r="C12" s="38" t="s">
        <v>45</v>
      </c>
      <c r="D12" s="39"/>
      <c r="E12" s="39"/>
      <c r="F12" s="39"/>
      <c r="G12" s="40">
        <v>18109.0</v>
      </c>
      <c r="H12" s="41">
        <v>200.0</v>
      </c>
      <c r="I12" s="72">
        <v>45990.0</v>
      </c>
      <c r="J12" s="25">
        <v>46223.0</v>
      </c>
      <c r="K12" s="38">
        <v>200.0</v>
      </c>
      <c r="L12" s="73">
        <v>45990.0</v>
      </c>
      <c r="M12" s="38">
        <v>100.0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37">
        <v>93.0</v>
      </c>
      <c r="B13" s="37" t="s">
        <v>67</v>
      </c>
      <c r="C13" s="38" t="s">
        <v>68</v>
      </c>
      <c r="D13" s="39"/>
      <c r="E13" s="39"/>
      <c r="F13" s="39"/>
      <c r="G13" s="40">
        <v>18109.0</v>
      </c>
      <c r="H13" s="41">
        <v>200.0</v>
      </c>
      <c r="I13" s="70">
        <v>46078.0</v>
      </c>
      <c r="J13" s="25">
        <v>46223.0</v>
      </c>
      <c r="K13" s="38">
        <v>200.0</v>
      </c>
      <c r="L13" s="71"/>
      <c r="M13" s="71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37">
        <v>88.0</v>
      </c>
      <c r="B14" s="37" t="s">
        <v>49</v>
      </c>
      <c r="C14" s="38" t="s">
        <v>50</v>
      </c>
      <c r="D14" s="39"/>
      <c r="E14" s="39"/>
      <c r="F14" s="39"/>
      <c r="G14" s="40">
        <v>18109.0</v>
      </c>
      <c r="H14" s="41">
        <v>200.0</v>
      </c>
      <c r="I14" s="70">
        <v>46078.0</v>
      </c>
      <c r="J14" s="25">
        <v>46223.0</v>
      </c>
      <c r="K14" s="38">
        <v>200.0</v>
      </c>
      <c r="L14" s="71"/>
      <c r="M14" s="71"/>
      <c r="N14" s="71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37">
        <v>92.0</v>
      </c>
      <c r="B15" s="37" t="s">
        <v>284</v>
      </c>
      <c r="C15" s="38" t="s">
        <v>64</v>
      </c>
      <c r="D15" s="39"/>
      <c r="E15" s="39"/>
      <c r="F15" s="39"/>
      <c r="G15" s="40">
        <v>18109.0</v>
      </c>
      <c r="H15" s="41">
        <v>200.0</v>
      </c>
      <c r="I15" s="70">
        <v>46078.0</v>
      </c>
      <c r="J15" s="25">
        <v>46223.0</v>
      </c>
      <c r="K15" s="38">
        <v>200.0</v>
      </c>
      <c r="L15" s="71"/>
      <c r="M15" s="71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>
      <c r="A16" s="37">
        <v>70.0</v>
      </c>
      <c r="B16" s="37" t="s">
        <v>75</v>
      </c>
      <c r="C16" s="38" t="s">
        <v>77</v>
      </c>
      <c r="D16" s="39"/>
      <c r="E16" s="39"/>
      <c r="F16" s="39"/>
      <c r="G16" s="40">
        <v>18109.0</v>
      </c>
      <c r="H16" s="41">
        <v>200.0</v>
      </c>
      <c r="I16" s="48">
        <v>45942.0</v>
      </c>
      <c r="J16" s="25">
        <v>46223.0</v>
      </c>
      <c r="K16" s="38">
        <v>200.0</v>
      </c>
      <c r="L16" s="47">
        <v>45942.0</v>
      </c>
      <c r="M16" s="38">
        <v>100.0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>
      <c r="A17" s="37">
        <v>89.0</v>
      </c>
      <c r="B17" s="37" t="s">
        <v>54</v>
      </c>
      <c r="C17" s="38" t="s">
        <v>55</v>
      </c>
      <c r="D17" s="39"/>
      <c r="E17" s="39"/>
      <c r="F17" s="39"/>
      <c r="G17" s="40">
        <v>18109.0</v>
      </c>
      <c r="H17" s="41">
        <v>200.0</v>
      </c>
      <c r="I17" s="70">
        <v>46078.0</v>
      </c>
      <c r="J17" s="25">
        <v>46223.0</v>
      </c>
      <c r="K17" s="38">
        <v>200.0</v>
      </c>
      <c r="L17" s="71"/>
      <c r="M17" s="71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>
      <c r="A18" s="37">
        <v>90.0</v>
      </c>
      <c r="B18" s="37" t="s">
        <v>54</v>
      </c>
      <c r="C18" s="38" t="s">
        <v>59</v>
      </c>
      <c r="D18" s="39"/>
      <c r="E18" s="39"/>
      <c r="F18" s="39"/>
      <c r="G18" s="40">
        <v>18109.0</v>
      </c>
      <c r="H18" s="41">
        <v>200.0</v>
      </c>
      <c r="I18" s="70">
        <v>46078.0</v>
      </c>
      <c r="J18" s="25">
        <v>46223.0</v>
      </c>
      <c r="K18" s="38">
        <v>200.0</v>
      </c>
      <c r="L18" s="71"/>
      <c r="M18" s="71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A19" s="37">
        <v>69.0</v>
      </c>
      <c r="B19" s="37" t="s">
        <v>54</v>
      </c>
      <c r="C19" s="38" t="s">
        <v>84</v>
      </c>
      <c r="D19" s="39"/>
      <c r="E19" s="39"/>
      <c r="F19" s="39"/>
      <c r="G19" s="40">
        <v>18109.0</v>
      </c>
      <c r="H19" s="41">
        <v>200.0</v>
      </c>
      <c r="I19" s="48">
        <v>45942.0</v>
      </c>
      <c r="J19" s="25">
        <v>46223.0</v>
      </c>
      <c r="K19" s="38">
        <v>200.0</v>
      </c>
      <c r="L19" s="47">
        <v>45942.0</v>
      </c>
      <c r="M19" s="38">
        <v>100.0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A20" s="37"/>
      <c r="B20" s="37"/>
      <c r="C20" s="38"/>
      <c r="D20" s="39"/>
      <c r="E20" s="39"/>
      <c r="F20" s="39"/>
      <c r="G20" s="40"/>
      <c r="H20" s="48"/>
      <c r="I20" s="41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51"/>
      <c r="B21" s="37"/>
      <c r="C21" s="38"/>
      <c r="D21" s="39"/>
      <c r="E21" s="39"/>
      <c r="F21" s="39"/>
      <c r="G21" s="40"/>
      <c r="H21" s="48"/>
      <c r="I21" s="41"/>
      <c r="J21" s="47"/>
      <c r="K21" s="38"/>
      <c r="L21" s="47"/>
      <c r="M21" s="3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37"/>
      <c r="B22" s="37"/>
      <c r="C22" s="38"/>
      <c r="D22" s="39"/>
      <c r="E22" s="39"/>
      <c r="F22" s="39"/>
      <c r="G22" s="40"/>
      <c r="H22" s="48"/>
      <c r="I22" s="41"/>
      <c r="J22" s="47"/>
      <c r="K22" s="38"/>
      <c r="L22" s="47"/>
      <c r="M22" s="3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7"/>
      <c r="B23" s="37"/>
      <c r="C23" s="38"/>
      <c r="D23" s="38"/>
      <c r="E23" s="39"/>
      <c r="F23" s="39"/>
      <c r="G23" s="40"/>
      <c r="H23" s="41"/>
      <c r="I23" s="41"/>
      <c r="J23" s="39"/>
      <c r="K23" s="39"/>
      <c r="L23" s="39"/>
      <c r="M23" s="39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37"/>
      <c r="B24" s="37"/>
      <c r="C24" s="38"/>
      <c r="D24" s="39"/>
      <c r="E24" s="39"/>
      <c r="F24" s="39"/>
      <c r="G24" s="40"/>
      <c r="H24" s="41"/>
      <c r="I24" s="41"/>
      <c r="J24" s="39"/>
      <c r="K24" s="39"/>
      <c r="L24" s="39"/>
      <c r="M24" s="3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51"/>
      <c r="B25" s="37"/>
      <c r="C25" s="38"/>
      <c r="D25" s="38"/>
      <c r="E25" s="39"/>
      <c r="F25" s="39"/>
      <c r="G25" s="40"/>
      <c r="H25" s="41"/>
      <c r="I25" s="41"/>
      <c r="J25" s="39"/>
      <c r="K25" s="39"/>
      <c r="L25" s="39"/>
      <c r="M25" s="3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37"/>
      <c r="B26" s="37"/>
      <c r="C26" s="38"/>
      <c r="D26" s="39"/>
      <c r="E26" s="39"/>
      <c r="F26" s="39"/>
      <c r="G26" s="40"/>
      <c r="H26" s="41"/>
      <c r="I26" s="41"/>
      <c r="J26" s="47"/>
      <c r="K26" s="38"/>
      <c r="L26" s="47"/>
      <c r="M26" s="3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51"/>
      <c r="B27" s="37"/>
      <c r="C27" s="38"/>
      <c r="D27" s="38"/>
      <c r="E27" s="39"/>
      <c r="F27" s="39"/>
      <c r="G27" s="40"/>
      <c r="H27" s="41"/>
      <c r="I27" s="41"/>
      <c r="J27" s="39"/>
      <c r="K27" s="39"/>
      <c r="L27" s="39"/>
      <c r="M27" s="39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37"/>
      <c r="B28" s="37"/>
      <c r="C28" s="38"/>
      <c r="D28" s="39"/>
      <c r="E28" s="39"/>
      <c r="F28" s="39"/>
      <c r="G28" s="40"/>
      <c r="H28" s="48"/>
      <c r="I28" s="41"/>
      <c r="J28" s="47"/>
      <c r="K28" s="38"/>
      <c r="L28" s="47"/>
      <c r="M28" s="3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>
      <c r="A29" s="37"/>
      <c r="B29" s="60"/>
      <c r="C29" s="38"/>
      <c r="D29" s="40"/>
      <c r="E29" s="39"/>
      <c r="F29" s="39"/>
      <c r="G29" s="40"/>
      <c r="H29" s="48"/>
      <c r="I29" s="41"/>
      <c r="J29" s="39"/>
      <c r="K29" s="39"/>
      <c r="L29" s="39"/>
      <c r="M29" s="39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51"/>
      <c r="B30" s="37"/>
      <c r="C30" s="38"/>
      <c r="D30" s="39"/>
      <c r="E30" s="39"/>
      <c r="F30" s="39"/>
      <c r="G30" s="40"/>
      <c r="H30" s="41"/>
      <c r="I30" s="41"/>
      <c r="J30" s="39"/>
      <c r="K30" s="39"/>
      <c r="L30" s="39"/>
      <c r="M30" s="39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37"/>
      <c r="B31" s="37"/>
      <c r="C31" s="38"/>
      <c r="D31" s="39"/>
      <c r="E31" s="39"/>
      <c r="F31" s="39"/>
      <c r="G31" s="40"/>
      <c r="H31" s="41"/>
      <c r="I31" s="41"/>
      <c r="J31" s="39"/>
      <c r="K31" s="39"/>
      <c r="L31" s="39"/>
      <c r="M31" s="3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51"/>
      <c r="B32" s="37"/>
      <c r="C32" s="38"/>
      <c r="D32" s="39"/>
      <c r="E32" s="39"/>
      <c r="F32" s="39"/>
      <c r="G32" s="40"/>
      <c r="H32" s="41"/>
      <c r="I32" s="41"/>
      <c r="J32" s="39"/>
      <c r="K32" s="39"/>
      <c r="L32" s="39"/>
      <c r="M32" s="3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37"/>
      <c r="B33" s="37"/>
      <c r="C33" s="38"/>
      <c r="D33" s="39"/>
      <c r="E33" s="39"/>
      <c r="F33" s="39"/>
      <c r="G33" s="40"/>
      <c r="H33" s="48"/>
      <c r="I33" s="41"/>
      <c r="J33" s="47"/>
      <c r="K33" s="38"/>
      <c r="L33" s="47"/>
      <c r="M33" s="3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51"/>
      <c r="B34" s="36"/>
      <c r="C34" s="38"/>
      <c r="D34" s="38"/>
      <c r="E34" s="38"/>
      <c r="F34" s="47"/>
      <c r="G34" s="40"/>
      <c r="H34" s="41"/>
      <c r="I34" s="41"/>
      <c r="J34" s="47"/>
      <c r="K34" s="38"/>
      <c r="L34" s="47"/>
      <c r="M34" s="3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37"/>
      <c r="B35" s="37"/>
      <c r="C35" s="38"/>
      <c r="D35" s="39"/>
      <c r="E35" s="39"/>
      <c r="F35" s="39"/>
      <c r="G35" s="40"/>
      <c r="H35" s="48"/>
      <c r="I35" s="41"/>
      <c r="J35" s="47"/>
      <c r="K35" s="38"/>
      <c r="L35" s="47"/>
      <c r="M35" s="3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37"/>
      <c r="B36" s="37"/>
      <c r="C36" s="38"/>
      <c r="D36" s="39"/>
      <c r="E36" s="39"/>
      <c r="F36" s="39"/>
      <c r="G36" s="40"/>
      <c r="H36" s="48"/>
      <c r="I36" s="41"/>
      <c r="J36" s="47"/>
      <c r="K36" s="38"/>
      <c r="L36" s="47"/>
      <c r="M36" s="3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51"/>
      <c r="B37" s="37"/>
      <c r="C37" s="38"/>
      <c r="D37" s="39"/>
      <c r="E37" s="39"/>
      <c r="F37" s="39"/>
      <c r="G37" s="40"/>
      <c r="H37" s="48"/>
      <c r="I37" s="41"/>
      <c r="J37" s="47"/>
      <c r="K37" s="38"/>
      <c r="L37" s="47"/>
      <c r="M37" s="3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37"/>
      <c r="B38" s="37"/>
      <c r="C38" s="38"/>
      <c r="D38" s="39"/>
      <c r="E38" s="39"/>
      <c r="F38" s="39"/>
      <c r="G38" s="40"/>
      <c r="H38" s="48"/>
      <c r="I38" s="41"/>
      <c r="J38" s="47"/>
      <c r="K38" s="38"/>
      <c r="L38" s="47"/>
      <c r="M38" s="3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51"/>
      <c r="B39" s="37"/>
      <c r="C39" s="38"/>
      <c r="D39" s="39"/>
      <c r="E39" s="39"/>
      <c r="F39" s="39"/>
      <c r="G39" s="40"/>
      <c r="H39" s="41"/>
      <c r="I39" s="41"/>
      <c r="J39" s="39"/>
      <c r="K39" s="39"/>
      <c r="L39" s="39"/>
      <c r="M39" s="39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37"/>
      <c r="B40" s="37"/>
      <c r="C40" s="38"/>
      <c r="D40" s="39"/>
      <c r="E40" s="39"/>
      <c r="F40" s="39"/>
      <c r="G40" s="40"/>
      <c r="H40" s="48"/>
      <c r="I40" s="41"/>
      <c r="J40" s="47"/>
      <c r="K40" s="38"/>
      <c r="L40" s="47"/>
      <c r="M40" s="3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51"/>
      <c r="B41" s="36"/>
      <c r="C41" s="38"/>
      <c r="D41" s="38"/>
      <c r="E41" s="38"/>
      <c r="F41" s="47"/>
      <c r="G41" s="40"/>
      <c r="H41" s="41"/>
      <c r="I41" s="41"/>
      <c r="J41" s="39"/>
      <c r="K41" s="39"/>
      <c r="L41" s="39"/>
      <c r="M41" s="39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37"/>
      <c r="B42" s="37"/>
      <c r="C42" s="38"/>
      <c r="D42" s="39"/>
      <c r="E42" s="39"/>
      <c r="F42" s="39"/>
      <c r="G42" s="40"/>
      <c r="H42" s="41"/>
      <c r="I42" s="41"/>
      <c r="J42" s="39"/>
      <c r="K42" s="39"/>
      <c r="L42" s="39"/>
      <c r="M42" s="3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51"/>
      <c r="B43" s="37"/>
      <c r="C43" s="38"/>
      <c r="D43" s="39"/>
      <c r="E43" s="39"/>
      <c r="F43" s="39"/>
      <c r="G43" s="40"/>
      <c r="H43" s="41"/>
      <c r="I43" s="41"/>
      <c r="J43" s="47"/>
      <c r="K43" s="38"/>
      <c r="L43" s="39"/>
      <c r="M43" s="3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37"/>
      <c r="B44" s="36"/>
      <c r="C44" s="38"/>
      <c r="D44" s="38"/>
      <c r="E44" s="38"/>
      <c r="F44" s="39"/>
      <c r="G44" s="64"/>
      <c r="H44" s="41"/>
      <c r="I44" s="41"/>
      <c r="J44" s="39"/>
      <c r="K44" s="39"/>
      <c r="L44" s="39"/>
      <c r="M44" s="3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51"/>
      <c r="B45" s="37"/>
      <c r="C45" s="38"/>
      <c r="D45" s="38"/>
      <c r="E45" s="39"/>
      <c r="F45" s="39"/>
      <c r="G45" s="40"/>
      <c r="H45" s="41"/>
      <c r="I45" s="41"/>
      <c r="J45" s="39"/>
      <c r="K45" s="39"/>
      <c r="L45" s="39"/>
      <c r="M45" s="3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37"/>
      <c r="B46" s="37"/>
      <c r="C46" s="38"/>
      <c r="D46" s="39"/>
      <c r="E46" s="39"/>
      <c r="F46" s="39"/>
      <c r="G46" s="40"/>
      <c r="H46" s="41"/>
      <c r="I46" s="41"/>
      <c r="J46" s="39"/>
      <c r="K46" s="39"/>
      <c r="L46" s="39"/>
      <c r="M46" s="3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37"/>
      <c r="B47" s="37"/>
      <c r="C47" s="38"/>
      <c r="D47" s="39"/>
      <c r="E47" s="39"/>
      <c r="F47" s="39"/>
      <c r="G47" s="40"/>
      <c r="H47" s="48"/>
      <c r="I47" s="41"/>
      <c r="J47" s="47"/>
      <c r="K47" s="38"/>
      <c r="L47" s="47"/>
      <c r="M47" s="3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51"/>
      <c r="B48" s="37"/>
      <c r="C48" s="38"/>
      <c r="D48" s="39"/>
      <c r="E48" s="39"/>
      <c r="F48" s="39"/>
      <c r="G48" s="40"/>
      <c r="H48" s="41"/>
      <c r="I48" s="41"/>
      <c r="J48" s="47"/>
      <c r="K48" s="38"/>
      <c r="L48" s="39"/>
      <c r="M48" s="39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37"/>
      <c r="B49" s="37"/>
      <c r="C49" s="38"/>
      <c r="D49" s="39"/>
      <c r="E49" s="39"/>
      <c r="F49" s="39"/>
      <c r="G49" s="40"/>
      <c r="H49" s="41"/>
      <c r="I49" s="41"/>
      <c r="J49" s="47"/>
      <c r="K49" s="38"/>
      <c r="L49" s="39"/>
      <c r="M49" s="3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51"/>
      <c r="B50" s="38"/>
      <c r="C50" s="38"/>
      <c r="D50" s="39"/>
      <c r="E50" s="39"/>
      <c r="F50" s="39"/>
      <c r="G50" s="40"/>
      <c r="H50" s="41"/>
      <c r="I50" s="41"/>
      <c r="J50" s="39"/>
      <c r="K50" s="39"/>
      <c r="L50" s="39"/>
      <c r="M50" s="3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37"/>
      <c r="B51" s="36"/>
      <c r="C51" s="38"/>
      <c r="D51" s="38"/>
      <c r="E51" s="39"/>
      <c r="F51" s="39"/>
      <c r="G51" s="40"/>
      <c r="H51" s="41"/>
      <c r="I51" s="41"/>
      <c r="J51" s="47"/>
      <c r="K51" s="38"/>
      <c r="L51" s="39"/>
      <c r="M51" s="39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51"/>
      <c r="B52" s="37"/>
      <c r="C52" s="38"/>
      <c r="D52" s="38"/>
      <c r="E52" s="39"/>
      <c r="F52" s="39"/>
      <c r="G52" s="40"/>
      <c r="H52" s="41"/>
      <c r="I52" s="41"/>
      <c r="J52" s="47"/>
      <c r="K52" s="38"/>
      <c r="L52" s="39"/>
      <c r="M52" s="39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>
      <c r="A53" s="37"/>
      <c r="B53" s="37"/>
      <c r="C53" s="37"/>
      <c r="D53" s="28"/>
      <c r="E53" s="28"/>
      <c r="F53" s="28"/>
      <c r="G53" s="40"/>
      <c r="H53" s="66"/>
      <c r="I53" s="66"/>
      <c r="J53" s="47"/>
      <c r="K53" s="3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37"/>
      <c r="B54" s="37"/>
      <c r="C54" s="37"/>
      <c r="D54" s="28"/>
      <c r="E54" s="28"/>
      <c r="F54" s="28"/>
      <c r="G54" s="40"/>
      <c r="H54" s="66"/>
      <c r="I54" s="66"/>
      <c r="J54" s="47"/>
      <c r="K54" s="3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28"/>
      <c r="B55" s="28"/>
      <c r="C55" s="28"/>
      <c r="D55" s="28"/>
      <c r="E55" s="28"/>
      <c r="F55" s="28"/>
      <c r="G55" s="28"/>
      <c r="H55" s="66"/>
      <c r="I55" s="66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28"/>
      <c r="B56" s="28"/>
      <c r="C56" s="28"/>
      <c r="D56" s="28"/>
      <c r="E56" s="28"/>
      <c r="F56" s="28"/>
      <c r="G56" s="28"/>
      <c r="H56" s="66"/>
      <c r="I56" s="66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28"/>
      <c r="B57" s="28"/>
      <c r="C57" s="28"/>
      <c r="D57" s="28"/>
      <c r="E57" s="28"/>
      <c r="F57" s="28"/>
      <c r="G57" s="28"/>
      <c r="H57" s="66"/>
      <c r="I57" s="66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28"/>
      <c r="B58" s="28"/>
      <c r="C58" s="28"/>
      <c r="D58" s="28"/>
      <c r="E58" s="28"/>
      <c r="F58" s="28"/>
      <c r="G58" s="28"/>
      <c r="H58" s="66"/>
      <c r="I58" s="66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28"/>
      <c r="B59" s="28"/>
      <c r="C59" s="28"/>
      <c r="D59" s="28"/>
      <c r="E59" s="28"/>
      <c r="F59" s="28"/>
      <c r="G59" s="28"/>
      <c r="H59" s="66"/>
      <c r="I59" s="66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28"/>
      <c r="B60" s="28"/>
      <c r="C60" s="28"/>
      <c r="D60" s="28"/>
      <c r="E60" s="28"/>
      <c r="F60" s="28"/>
      <c r="G60" s="28"/>
      <c r="H60" s="66"/>
      <c r="I60" s="66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28"/>
      <c r="B61" s="28"/>
      <c r="C61" s="28"/>
      <c r="D61" s="28"/>
      <c r="E61" s="28"/>
      <c r="F61" s="28"/>
      <c r="G61" s="28"/>
      <c r="H61" s="66"/>
      <c r="I61" s="66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28"/>
      <c r="B62" s="28"/>
      <c r="C62" s="28"/>
      <c r="D62" s="28"/>
      <c r="E62" s="28"/>
      <c r="F62" s="28"/>
      <c r="G62" s="28"/>
      <c r="H62" s="66"/>
      <c r="I62" s="66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28"/>
      <c r="B63" s="28"/>
      <c r="C63" s="28"/>
      <c r="D63" s="28"/>
      <c r="E63" s="28"/>
      <c r="F63" s="28"/>
      <c r="G63" s="28"/>
      <c r="H63" s="66"/>
      <c r="I63" s="66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28"/>
      <c r="B64" s="28"/>
      <c r="C64" s="28"/>
      <c r="D64" s="28"/>
      <c r="E64" s="28"/>
      <c r="F64" s="28"/>
      <c r="G64" s="28"/>
      <c r="H64" s="66"/>
      <c r="I64" s="66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28"/>
      <c r="B65" s="28"/>
      <c r="C65" s="28"/>
      <c r="D65" s="28"/>
      <c r="E65" s="28"/>
      <c r="F65" s="28"/>
      <c r="G65" s="28"/>
      <c r="H65" s="66"/>
      <c r="I65" s="66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28"/>
      <c r="B66" s="28"/>
      <c r="C66" s="28"/>
      <c r="D66" s="28"/>
      <c r="E66" s="28"/>
      <c r="F66" s="28"/>
      <c r="G66" s="28"/>
      <c r="H66" s="66"/>
      <c r="I66" s="66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28"/>
      <c r="B67" s="28"/>
      <c r="C67" s="28"/>
      <c r="D67" s="28"/>
      <c r="E67" s="28"/>
      <c r="F67" s="28"/>
      <c r="G67" s="28"/>
      <c r="H67" s="66"/>
      <c r="I67" s="66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28"/>
      <c r="B68" s="28"/>
      <c r="C68" s="28"/>
      <c r="D68" s="28"/>
      <c r="E68" s="28"/>
      <c r="F68" s="28"/>
      <c r="G68" s="28"/>
      <c r="H68" s="66"/>
      <c r="I68" s="66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28"/>
      <c r="B69" s="28"/>
      <c r="C69" s="28"/>
      <c r="D69" s="28"/>
      <c r="E69" s="28"/>
      <c r="F69" s="28"/>
      <c r="G69" s="28"/>
      <c r="H69" s="66"/>
      <c r="I69" s="66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28"/>
      <c r="B70" s="28"/>
      <c r="C70" s="28"/>
      <c r="D70" s="28"/>
      <c r="E70" s="28"/>
      <c r="F70" s="28"/>
      <c r="G70" s="28"/>
      <c r="H70" s="66"/>
      <c r="I70" s="66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28"/>
      <c r="B71" s="28"/>
      <c r="C71" s="28"/>
      <c r="D71" s="28"/>
      <c r="E71" s="28"/>
      <c r="F71" s="28"/>
      <c r="G71" s="28"/>
      <c r="H71" s="66"/>
      <c r="I71" s="66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28"/>
      <c r="B72" s="28"/>
      <c r="C72" s="28"/>
      <c r="D72" s="28"/>
      <c r="E72" s="28"/>
      <c r="F72" s="28"/>
      <c r="G72" s="28"/>
      <c r="H72" s="66"/>
      <c r="I72" s="66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28"/>
      <c r="B73" s="28"/>
      <c r="C73" s="28"/>
      <c r="D73" s="28"/>
      <c r="E73" s="28"/>
      <c r="F73" s="28"/>
      <c r="G73" s="28"/>
      <c r="H73" s="66"/>
      <c r="I73" s="66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28"/>
      <c r="B74" s="28"/>
      <c r="C74" s="28"/>
      <c r="D74" s="28"/>
      <c r="E74" s="28"/>
      <c r="F74" s="28"/>
      <c r="G74" s="28"/>
      <c r="H74" s="66"/>
      <c r="I74" s="66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28"/>
      <c r="B75" s="28"/>
      <c r="C75" s="28"/>
      <c r="D75" s="28"/>
      <c r="E75" s="28"/>
      <c r="F75" s="28"/>
      <c r="G75" s="28"/>
      <c r="H75" s="66"/>
      <c r="I75" s="66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28"/>
      <c r="B76" s="28"/>
      <c r="C76" s="28"/>
      <c r="D76" s="28"/>
      <c r="E76" s="28"/>
      <c r="F76" s="28"/>
      <c r="G76" s="28"/>
      <c r="H76" s="66"/>
      <c r="I76" s="66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28"/>
      <c r="B77" s="28"/>
      <c r="C77" s="28"/>
      <c r="D77" s="28"/>
      <c r="E77" s="28"/>
      <c r="F77" s="28"/>
      <c r="G77" s="28"/>
      <c r="H77" s="66"/>
      <c r="I77" s="66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28"/>
      <c r="B78" s="28"/>
      <c r="C78" s="28"/>
      <c r="D78" s="28"/>
      <c r="E78" s="28"/>
      <c r="F78" s="28"/>
      <c r="G78" s="28"/>
      <c r="H78" s="66"/>
      <c r="I78" s="66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28"/>
      <c r="B79" s="28"/>
      <c r="C79" s="28"/>
      <c r="D79" s="28"/>
      <c r="E79" s="28"/>
      <c r="F79" s="28"/>
      <c r="G79" s="28"/>
      <c r="H79" s="66"/>
      <c r="I79" s="66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28"/>
      <c r="B80" s="28"/>
      <c r="C80" s="28"/>
      <c r="D80" s="28"/>
      <c r="E80" s="28"/>
      <c r="F80" s="28"/>
      <c r="G80" s="28"/>
      <c r="H80" s="66"/>
      <c r="I80" s="66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28"/>
      <c r="B81" s="28"/>
      <c r="C81" s="28"/>
      <c r="D81" s="28"/>
      <c r="E81" s="28"/>
      <c r="F81" s="28"/>
      <c r="G81" s="28"/>
      <c r="H81" s="66"/>
      <c r="I81" s="66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28"/>
      <c r="B82" s="28"/>
      <c r="C82" s="28"/>
      <c r="D82" s="28"/>
      <c r="E82" s="28"/>
      <c r="F82" s="28"/>
      <c r="G82" s="28"/>
      <c r="H82" s="66"/>
      <c r="I82" s="66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28"/>
      <c r="B83" s="28"/>
      <c r="C83" s="28"/>
      <c r="D83" s="28"/>
      <c r="E83" s="28"/>
      <c r="F83" s="28"/>
      <c r="G83" s="28"/>
      <c r="H83" s="66"/>
      <c r="I83" s="66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28"/>
      <c r="B84" s="28"/>
      <c r="C84" s="28"/>
      <c r="D84" s="28"/>
      <c r="E84" s="28"/>
      <c r="F84" s="28"/>
      <c r="G84" s="28"/>
      <c r="H84" s="66"/>
      <c r="I84" s="66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28"/>
      <c r="B85" s="28"/>
      <c r="C85" s="28"/>
      <c r="D85" s="28"/>
      <c r="E85" s="28"/>
      <c r="F85" s="28"/>
      <c r="G85" s="28"/>
      <c r="H85" s="66"/>
      <c r="I85" s="66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28"/>
      <c r="B86" s="28"/>
      <c r="C86" s="28"/>
      <c r="D86" s="28"/>
      <c r="E86" s="28"/>
      <c r="F86" s="28"/>
      <c r="G86" s="28"/>
      <c r="H86" s="66"/>
      <c r="I86" s="66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28"/>
      <c r="B87" s="28"/>
      <c r="C87" s="28"/>
      <c r="D87" s="28"/>
      <c r="E87" s="28"/>
      <c r="F87" s="28"/>
      <c r="G87" s="28"/>
      <c r="H87" s="66"/>
      <c r="I87" s="66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28"/>
      <c r="B88" s="28"/>
      <c r="C88" s="28"/>
      <c r="D88" s="28"/>
      <c r="E88" s="28"/>
      <c r="F88" s="28"/>
      <c r="G88" s="28"/>
      <c r="H88" s="66"/>
      <c r="I88" s="66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28"/>
      <c r="B89" s="28"/>
      <c r="C89" s="28"/>
      <c r="D89" s="28"/>
      <c r="E89" s="28"/>
      <c r="F89" s="28"/>
      <c r="G89" s="28"/>
      <c r="H89" s="66"/>
      <c r="I89" s="66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28"/>
      <c r="B90" s="28"/>
      <c r="C90" s="28"/>
      <c r="D90" s="28"/>
      <c r="E90" s="28"/>
      <c r="F90" s="28"/>
      <c r="G90" s="28"/>
      <c r="H90" s="66"/>
      <c r="I90" s="6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28"/>
      <c r="B91" s="28"/>
      <c r="C91" s="28"/>
      <c r="D91" s="28"/>
      <c r="E91" s="28"/>
      <c r="F91" s="28"/>
      <c r="G91" s="28"/>
      <c r="H91" s="66"/>
      <c r="I91" s="6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28"/>
      <c r="B92" s="28"/>
      <c r="C92" s="28"/>
      <c r="D92" s="28"/>
      <c r="E92" s="28"/>
      <c r="F92" s="28"/>
      <c r="G92" s="28"/>
      <c r="H92" s="66"/>
      <c r="I92" s="66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28"/>
      <c r="B93" s="28"/>
      <c r="C93" s="28"/>
      <c r="D93" s="28"/>
      <c r="E93" s="28"/>
      <c r="F93" s="28"/>
      <c r="G93" s="28"/>
      <c r="H93" s="66"/>
      <c r="I93" s="66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28"/>
      <c r="B94" s="28"/>
      <c r="C94" s="28"/>
      <c r="D94" s="28"/>
      <c r="E94" s="28"/>
      <c r="F94" s="28"/>
      <c r="G94" s="28"/>
      <c r="H94" s="66"/>
      <c r="I94" s="66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28"/>
      <c r="B95" s="28"/>
      <c r="C95" s="28"/>
      <c r="D95" s="28"/>
      <c r="E95" s="28"/>
      <c r="F95" s="28"/>
      <c r="G95" s="28"/>
      <c r="H95" s="66"/>
      <c r="I95" s="66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28"/>
      <c r="B96" s="28"/>
      <c r="C96" s="28"/>
      <c r="D96" s="28"/>
      <c r="E96" s="28"/>
      <c r="F96" s="28"/>
      <c r="G96" s="28"/>
      <c r="H96" s="66"/>
      <c r="I96" s="66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28"/>
      <c r="B97" s="28"/>
      <c r="C97" s="28"/>
      <c r="D97" s="28"/>
      <c r="E97" s="28"/>
      <c r="F97" s="28"/>
      <c r="G97" s="28"/>
      <c r="H97" s="66"/>
      <c r="I97" s="66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28"/>
      <c r="B98" s="28"/>
      <c r="C98" s="28"/>
      <c r="D98" s="28"/>
      <c r="E98" s="28"/>
      <c r="F98" s="28"/>
      <c r="G98" s="28"/>
      <c r="H98" s="66"/>
      <c r="I98" s="66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28"/>
      <c r="B99" s="28"/>
      <c r="C99" s="28"/>
      <c r="D99" s="28"/>
      <c r="E99" s="28"/>
      <c r="F99" s="28"/>
      <c r="G99" s="28"/>
      <c r="H99" s="66"/>
      <c r="I99" s="66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28"/>
      <c r="B100" s="28"/>
      <c r="C100" s="28"/>
      <c r="D100" s="28"/>
      <c r="E100" s="28"/>
      <c r="F100" s="28"/>
      <c r="G100" s="28"/>
      <c r="H100" s="66"/>
      <c r="I100" s="66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28"/>
      <c r="B101" s="28"/>
      <c r="C101" s="28"/>
      <c r="D101" s="28"/>
      <c r="E101" s="28"/>
      <c r="F101" s="28"/>
      <c r="G101" s="28"/>
      <c r="H101" s="66"/>
      <c r="I101" s="66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28"/>
      <c r="B102" s="28"/>
      <c r="C102" s="28"/>
      <c r="D102" s="28"/>
      <c r="E102" s="28"/>
      <c r="F102" s="28"/>
      <c r="G102" s="28"/>
      <c r="H102" s="66"/>
      <c r="I102" s="66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28"/>
      <c r="B103" s="28"/>
      <c r="C103" s="28"/>
      <c r="D103" s="28"/>
      <c r="E103" s="28"/>
      <c r="F103" s="28"/>
      <c r="G103" s="28"/>
      <c r="H103" s="66"/>
      <c r="I103" s="66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28"/>
      <c r="B104" s="28"/>
      <c r="C104" s="28"/>
      <c r="D104" s="28"/>
      <c r="E104" s="28"/>
      <c r="F104" s="28"/>
      <c r="G104" s="28"/>
      <c r="H104" s="66"/>
      <c r="I104" s="66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28"/>
      <c r="B105" s="28"/>
      <c r="C105" s="28"/>
      <c r="D105" s="28"/>
      <c r="E105" s="28"/>
      <c r="F105" s="28"/>
      <c r="G105" s="28"/>
      <c r="H105" s="66"/>
      <c r="I105" s="66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28"/>
      <c r="B106" s="28"/>
      <c r="C106" s="28"/>
      <c r="D106" s="28"/>
      <c r="E106" s="28"/>
      <c r="F106" s="28"/>
      <c r="G106" s="28"/>
      <c r="H106" s="66"/>
      <c r="I106" s="66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28"/>
      <c r="B107" s="28"/>
      <c r="C107" s="28"/>
      <c r="D107" s="28"/>
      <c r="E107" s="28"/>
      <c r="F107" s="28"/>
      <c r="G107" s="28"/>
      <c r="H107" s="66"/>
      <c r="I107" s="66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28"/>
      <c r="B108" s="28"/>
      <c r="C108" s="28"/>
      <c r="D108" s="28"/>
      <c r="E108" s="28"/>
      <c r="F108" s="28"/>
      <c r="G108" s="28"/>
      <c r="H108" s="66"/>
      <c r="I108" s="66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28"/>
      <c r="B109" s="28"/>
      <c r="C109" s="28"/>
      <c r="D109" s="28"/>
      <c r="E109" s="28"/>
      <c r="F109" s="28"/>
      <c r="G109" s="28"/>
      <c r="H109" s="66"/>
      <c r="I109" s="66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28"/>
      <c r="B110" s="28"/>
      <c r="C110" s="28"/>
      <c r="D110" s="28"/>
      <c r="E110" s="28"/>
      <c r="F110" s="28"/>
      <c r="G110" s="28"/>
      <c r="H110" s="66"/>
      <c r="I110" s="66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66"/>
      <c r="I111" s="66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66"/>
      <c r="I112" s="66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66"/>
      <c r="I113" s="66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66"/>
      <c r="I114" s="66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66"/>
      <c r="I115" s="66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66"/>
      <c r="I116" s="66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66"/>
      <c r="I117" s="66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66"/>
      <c r="I118" s="6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66"/>
      <c r="I119" s="6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66"/>
      <c r="I120" s="6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66"/>
      <c r="I121" s="6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66"/>
      <c r="I122" s="6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66"/>
      <c r="I123" s="6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66"/>
      <c r="I124" s="6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66"/>
      <c r="I125" s="6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66"/>
      <c r="I126" s="6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66"/>
      <c r="I127" s="6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66"/>
      <c r="I128" s="6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66"/>
      <c r="I129" s="6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66"/>
      <c r="I130" s="6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66"/>
      <c r="I131" s="66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66"/>
      <c r="I132" s="66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66"/>
      <c r="I133" s="66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66"/>
      <c r="I134" s="66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66"/>
      <c r="I135" s="66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66"/>
      <c r="I136" s="66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66"/>
      <c r="I137" s="66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66"/>
      <c r="I138" s="66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66"/>
      <c r="I139" s="66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66"/>
      <c r="I140" s="66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66"/>
      <c r="I141" s="66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66"/>
      <c r="I142" s="66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66"/>
      <c r="I143" s="66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66"/>
      <c r="I144" s="66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66"/>
      <c r="I145" s="66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>
      <c r="A146" s="28"/>
      <c r="B146" s="28"/>
      <c r="C146" s="28"/>
      <c r="D146" s="28"/>
      <c r="E146" s="28"/>
      <c r="F146" s="28"/>
      <c r="G146" s="28"/>
      <c r="H146" s="66"/>
      <c r="I146" s="66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>
      <c r="A147" s="28"/>
      <c r="B147" s="28"/>
      <c r="C147" s="28"/>
      <c r="D147" s="28"/>
      <c r="E147" s="28"/>
      <c r="F147" s="28"/>
      <c r="G147" s="28"/>
      <c r="H147" s="66"/>
      <c r="I147" s="66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28"/>
      <c r="G148" s="28"/>
      <c r="H148" s="66"/>
      <c r="I148" s="66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28"/>
      <c r="G149" s="28"/>
      <c r="H149" s="66"/>
      <c r="I149" s="66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28"/>
      <c r="B150" s="28"/>
      <c r="C150" s="28"/>
      <c r="D150" s="28"/>
      <c r="E150" s="28"/>
      <c r="F150" s="28"/>
      <c r="G150" s="28"/>
      <c r="H150" s="66"/>
      <c r="I150" s="66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28"/>
      <c r="G151" s="28"/>
      <c r="H151" s="66"/>
      <c r="I151" s="66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28"/>
      <c r="G152" s="28"/>
      <c r="H152" s="66"/>
      <c r="I152" s="66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28"/>
      <c r="G153" s="28"/>
      <c r="H153" s="66"/>
      <c r="I153" s="66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28"/>
      <c r="G154" s="28"/>
      <c r="H154" s="66"/>
      <c r="I154" s="66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28"/>
      <c r="G155" s="28"/>
      <c r="H155" s="66"/>
      <c r="I155" s="66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28"/>
      <c r="G156" s="28"/>
      <c r="H156" s="66"/>
      <c r="I156" s="66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28"/>
      <c r="G157" s="28"/>
      <c r="H157" s="66"/>
      <c r="I157" s="66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28"/>
      <c r="G158" s="28"/>
      <c r="H158" s="66"/>
      <c r="I158" s="66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28"/>
      <c r="G159" s="28"/>
      <c r="H159" s="66"/>
      <c r="I159" s="66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28"/>
      <c r="G160" s="28"/>
      <c r="H160" s="66"/>
      <c r="I160" s="66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28"/>
      <c r="G161" s="28"/>
      <c r="H161" s="66"/>
      <c r="I161" s="66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28"/>
      <c r="G162" s="28"/>
      <c r="H162" s="66"/>
      <c r="I162" s="66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28"/>
      <c r="G163" s="28"/>
      <c r="H163" s="66"/>
      <c r="I163" s="66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28"/>
      <c r="G164" s="28"/>
      <c r="H164" s="66"/>
      <c r="I164" s="66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28"/>
      <c r="G165" s="28"/>
      <c r="H165" s="66"/>
      <c r="I165" s="66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28"/>
      <c r="G166" s="28"/>
      <c r="H166" s="66"/>
      <c r="I166" s="66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28"/>
      <c r="G167" s="28"/>
      <c r="H167" s="66"/>
      <c r="I167" s="66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28"/>
      <c r="G168" s="28"/>
      <c r="H168" s="66"/>
      <c r="I168" s="66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28"/>
      <c r="G169" s="28"/>
      <c r="H169" s="66"/>
      <c r="I169" s="66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28"/>
      <c r="G170" s="28"/>
      <c r="H170" s="66"/>
      <c r="I170" s="66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28"/>
      <c r="G171" s="28"/>
      <c r="H171" s="66"/>
      <c r="I171" s="66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28"/>
      <c r="G172" s="28"/>
      <c r="H172" s="66"/>
      <c r="I172" s="66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28"/>
      <c r="G173" s="28"/>
      <c r="H173" s="66"/>
      <c r="I173" s="66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28"/>
      <c r="G174" s="28"/>
      <c r="H174" s="66"/>
      <c r="I174" s="66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28"/>
      <c r="G175" s="28"/>
      <c r="H175" s="66"/>
      <c r="I175" s="66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28"/>
      <c r="G176" s="28"/>
      <c r="H176" s="66"/>
      <c r="I176" s="66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28"/>
      <c r="G177" s="28"/>
      <c r="H177" s="66"/>
      <c r="I177" s="66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28"/>
      <c r="G178" s="28"/>
      <c r="H178" s="66"/>
      <c r="I178" s="66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28"/>
      <c r="G179" s="28"/>
      <c r="H179" s="66"/>
      <c r="I179" s="66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28"/>
      <c r="G180" s="28"/>
      <c r="H180" s="66"/>
      <c r="I180" s="66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28"/>
      <c r="G181" s="28"/>
      <c r="H181" s="66"/>
      <c r="I181" s="66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28"/>
      <c r="G182" s="28"/>
      <c r="H182" s="66"/>
      <c r="I182" s="66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28"/>
      <c r="G183" s="28"/>
      <c r="H183" s="66"/>
      <c r="I183" s="66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28"/>
      <c r="G184" s="28"/>
      <c r="H184" s="66"/>
      <c r="I184" s="66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28"/>
      <c r="G185" s="28"/>
      <c r="H185" s="66"/>
      <c r="I185" s="66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28"/>
      <c r="G186" s="28"/>
      <c r="H186" s="66"/>
      <c r="I186" s="66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28"/>
      <c r="G187" s="28"/>
      <c r="H187" s="66"/>
      <c r="I187" s="66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28"/>
      <c r="G188" s="28"/>
      <c r="H188" s="66"/>
      <c r="I188" s="66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28"/>
      <c r="G189" s="28"/>
      <c r="H189" s="66"/>
      <c r="I189" s="66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28"/>
      <c r="G190" s="28"/>
      <c r="H190" s="66"/>
      <c r="I190" s="66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28"/>
      <c r="G191" s="28"/>
      <c r="H191" s="66"/>
      <c r="I191" s="66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28"/>
      <c r="G192" s="28"/>
      <c r="H192" s="66"/>
      <c r="I192" s="66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28"/>
      <c r="G193" s="28"/>
      <c r="H193" s="66"/>
      <c r="I193" s="66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28"/>
      <c r="G194" s="28"/>
      <c r="H194" s="66"/>
      <c r="I194" s="66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28"/>
      <c r="G195" s="28"/>
      <c r="H195" s="66"/>
      <c r="I195" s="66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28"/>
      <c r="G196" s="28"/>
      <c r="H196" s="66"/>
      <c r="I196" s="66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28"/>
      <c r="G197" s="28"/>
      <c r="H197" s="66"/>
      <c r="I197" s="66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28"/>
      <c r="G198" s="28"/>
      <c r="H198" s="66"/>
      <c r="I198" s="66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28"/>
      <c r="G199" s="28"/>
      <c r="H199" s="66"/>
      <c r="I199" s="66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28"/>
      <c r="G200" s="28"/>
      <c r="H200" s="66"/>
      <c r="I200" s="66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28"/>
      <c r="G201" s="28"/>
      <c r="H201" s="66"/>
      <c r="I201" s="66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28"/>
      <c r="G202" s="28"/>
      <c r="H202" s="66"/>
      <c r="I202" s="66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28"/>
      <c r="G203" s="28"/>
      <c r="H203" s="66"/>
      <c r="I203" s="66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28"/>
      <c r="G204" s="28"/>
      <c r="H204" s="66"/>
      <c r="I204" s="66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28"/>
      <c r="G205" s="28"/>
      <c r="H205" s="66"/>
      <c r="I205" s="66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28"/>
      <c r="G206" s="28"/>
      <c r="H206" s="66"/>
      <c r="I206" s="66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28"/>
      <c r="G207" s="28"/>
      <c r="H207" s="66"/>
      <c r="I207" s="66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28"/>
      <c r="G208" s="28"/>
      <c r="H208" s="66"/>
      <c r="I208" s="66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28"/>
      <c r="G209" s="28"/>
      <c r="H209" s="66"/>
      <c r="I209" s="66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28"/>
      <c r="G210" s="28"/>
      <c r="H210" s="66"/>
      <c r="I210" s="66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28"/>
      <c r="G211" s="28"/>
      <c r="H211" s="66"/>
      <c r="I211" s="66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28"/>
      <c r="G212" s="28"/>
      <c r="H212" s="66"/>
      <c r="I212" s="66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28"/>
      <c r="G213" s="28"/>
      <c r="H213" s="66"/>
      <c r="I213" s="66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28"/>
      <c r="G214" s="28"/>
      <c r="H214" s="66"/>
      <c r="I214" s="66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28"/>
      <c r="G215" s="28"/>
      <c r="H215" s="66"/>
      <c r="I215" s="66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28"/>
      <c r="G216" s="28"/>
      <c r="H216" s="66"/>
      <c r="I216" s="66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28"/>
      <c r="G217" s="28"/>
      <c r="H217" s="66"/>
      <c r="I217" s="66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28"/>
      <c r="G218" s="28"/>
      <c r="H218" s="66"/>
      <c r="I218" s="66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28"/>
      <c r="G219" s="28"/>
      <c r="H219" s="66"/>
      <c r="I219" s="66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28"/>
      <c r="G220" s="28"/>
      <c r="H220" s="66"/>
      <c r="I220" s="66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28"/>
      <c r="G221" s="28"/>
      <c r="H221" s="66"/>
      <c r="I221" s="66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28"/>
      <c r="G222" s="28"/>
      <c r="H222" s="66"/>
      <c r="I222" s="66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28"/>
      <c r="G223" s="28"/>
      <c r="H223" s="66"/>
      <c r="I223" s="66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28"/>
      <c r="G224" s="28"/>
      <c r="H224" s="66"/>
      <c r="I224" s="66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28"/>
      <c r="G225" s="28"/>
      <c r="H225" s="66"/>
      <c r="I225" s="66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28"/>
      <c r="G226" s="28"/>
      <c r="H226" s="66"/>
      <c r="I226" s="66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28"/>
      <c r="G227" s="28"/>
      <c r="H227" s="66"/>
      <c r="I227" s="66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28"/>
      <c r="G228" s="28"/>
      <c r="H228" s="66"/>
      <c r="I228" s="66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28"/>
      <c r="G229" s="28"/>
      <c r="H229" s="66"/>
      <c r="I229" s="66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28"/>
      <c r="G230" s="28"/>
      <c r="H230" s="66"/>
      <c r="I230" s="66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28"/>
      <c r="G231" s="28"/>
      <c r="H231" s="66"/>
      <c r="I231" s="66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28"/>
      <c r="G232" s="28"/>
      <c r="H232" s="66"/>
      <c r="I232" s="66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28"/>
      <c r="G233" s="28"/>
      <c r="H233" s="66"/>
      <c r="I233" s="66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28"/>
      <c r="G234" s="28"/>
      <c r="H234" s="66"/>
      <c r="I234" s="66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28"/>
      <c r="G235" s="28"/>
      <c r="H235" s="66"/>
      <c r="I235" s="66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28"/>
      <c r="G236" s="28"/>
      <c r="H236" s="66"/>
      <c r="I236" s="66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28"/>
      <c r="G237" s="28"/>
      <c r="H237" s="66"/>
      <c r="I237" s="66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28"/>
      <c r="G238" s="28"/>
      <c r="H238" s="66"/>
      <c r="I238" s="66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28"/>
      <c r="G239" s="28"/>
      <c r="H239" s="66"/>
      <c r="I239" s="66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28"/>
      <c r="G240" s="28"/>
      <c r="H240" s="66"/>
      <c r="I240" s="66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28"/>
      <c r="G241" s="28"/>
      <c r="H241" s="66"/>
      <c r="I241" s="66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28"/>
      <c r="G242" s="28"/>
      <c r="H242" s="66"/>
      <c r="I242" s="66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28"/>
      <c r="G243" s="28"/>
      <c r="H243" s="66"/>
      <c r="I243" s="66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28"/>
      <c r="G244" s="28"/>
      <c r="H244" s="66"/>
      <c r="I244" s="66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28"/>
      <c r="G245" s="28"/>
      <c r="H245" s="66"/>
      <c r="I245" s="66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28"/>
      <c r="G246" s="28"/>
      <c r="H246" s="66"/>
      <c r="I246" s="66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28"/>
      <c r="G247" s="28"/>
      <c r="H247" s="66"/>
      <c r="I247" s="66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28"/>
      <c r="G248" s="28"/>
      <c r="H248" s="66"/>
      <c r="I248" s="66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28"/>
      <c r="G249" s="28"/>
      <c r="H249" s="66"/>
      <c r="I249" s="66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28"/>
      <c r="G250" s="28"/>
      <c r="H250" s="66"/>
      <c r="I250" s="66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28"/>
      <c r="G251" s="28"/>
      <c r="H251" s="66"/>
      <c r="I251" s="66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28"/>
      <c r="G252" s="28"/>
      <c r="H252" s="66"/>
      <c r="I252" s="66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28"/>
      <c r="G253" s="28"/>
      <c r="H253" s="66"/>
      <c r="I253" s="66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28"/>
      <c r="G254" s="28"/>
      <c r="H254" s="66"/>
      <c r="I254" s="66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28"/>
      <c r="G255" s="28"/>
      <c r="H255" s="66"/>
      <c r="I255" s="66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28"/>
      <c r="G256" s="28"/>
      <c r="H256" s="66"/>
      <c r="I256" s="66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28"/>
      <c r="G257" s="28"/>
      <c r="H257" s="66"/>
      <c r="I257" s="66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28"/>
      <c r="G258" s="28"/>
      <c r="H258" s="66"/>
      <c r="I258" s="66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28"/>
      <c r="G259" s="28"/>
      <c r="H259" s="66"/>
      <c r="I259" s="66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28"/>
      <c r="G260" s="28"/>
      <c r="H260" s="66"/>
      <c r="I260" s="66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28"/>
      <c r="G261" s="28"/>
      <c r="H261" s="66"/>
      <c r="I261" s="66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28"/>
      <c r="G262" s="28"/>
      <c r="H262" s="66"/>
      <c r="I262" s="66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28"/>
      <c r="G263" s="28"/>
      <c r="H263" s="66"/>
      <c r="I263" s="66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28"/>
      <c r="G264" s="28"/>
      <c r="H264" s="66"/>
      <c r="I264" s="66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28"/>
      <c r="G265" s="28"/>
      <c r="H265" s="66"/>
      <c r="I265" s="66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28"/>
      <c r="G266" s="28"/>
      <c r="H266" s="66"/>
      <c r="I266" s="66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28"/>
      <c r="G267" s="28"/>
      <c r="H267" s="66"/>
      <c r="I267" s="66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28"/>
      <c r="G268" s="28"/>
      <c r="H268" s="66"/>
      <c r="I268" s="66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28"/>
      <c r="G269" s="28"/>
      <c r="H269" s="66"/>
      <c r="I269" s="66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28"/>
      <c r="G270" s="28"/>
      <c r="H270" s="66"/>
      <c r="I270" s="66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28"/>
      <c r="G271" s="28"/>
      <c r="H271" s="66"/>
      <c r="I271" s="66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28"/>
      <c r="G272" s="28"/>
      <c r="H272" s="66"/>
      <c r="I272" s="66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28"/>
      <c r="G273" s="28"/>
      <c r="H273" s="66"/>
      <c r="I273" s="66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28"/>
      <c r="G274" s="28"/>
      <c r="H274" s="66"/>
      <c r="I274" s="66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28"/>
      <c r="G275" s="28"/>
      <c r="H275" s="66"/>
      <c r="I275" s="66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28"/>
      <c r="G276" s="28"/>
      <c r="H276" s="66"/>
      <c r="I276" s="66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28"/>
      <c r="G277" s="28"/>
      <c r="H277" s="66"/>
      <c r="I277" s="66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28"/>
      <c r="G278" s="28"/>
      <c r="H278" s="66"/>
      <c r="I278" s="66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28"/>
      <c r="G279" s="28"/>
      <c r="H279" s="66"/>
      <c r="I279" s="66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28"/>
      <c r="G280" s="28"/>
      <c r="H280" s="66"/>
      <c r="I280" s="66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28"/>
      <c r="G281" s="28"/>
      <c r="H281" s="66"/>
      <c r="I281" s="66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28"/>
      <c r="G282" s="28"/>
      <c r="H282" s="66"/>
      <c r="I282" s="66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28"/>
      <c r="G283" s="28"/>
      <c r="H283" s="66"/>
      <c r="I283" s="66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28"/>
      <c r="G284" s="28"/>
      <c r="H284" s="66"/>
      <c r="I284" s="66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28"/>
      <c r="G285" s="28"/>
      <c r="H285" s="66"/>
      <c r="I285" s="66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28"/>
      <c r="G286" s="28"/>
      <c r="H286" s="66"/>
      <c r="I286" s="66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28"/>
      <c r="G287" s="28"/>
      <c r="H287" s="66"/>
      <c r="I287" s="66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28"/>
      <c r="G288" s="28"/>
      <c r="H288" s="66"/>
      <c r="I288" s="66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28"/>
      <c r="G289" s="28"/>
      <c r="H289" s="66"/>
      <c r="I289" s="66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28"/>
      <c r="G290" s="28"/>
      <c r="H290" s="66"/>
      <c r="I290" s="66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28"/>
      <c r="G291" s="28"/>
      <c r="H291" s="66"/>
      <c r="I291" s="66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28"/>
      <c r="G292" s="28"/>
      <c r="H292" s="66"/>
      <c r="I292" s="66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28"/>
      <c r="G293" s="28"/>
      <c r="H293" s="66"/>
      <c r="I293" s="66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28"/>
      <c r="G294" s="28"/>
      <c r="H294" s="66"/>
      <c r="I294" s="66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28"/>
      <c r="G295" s="28"/>
      <c r="H295" s="66"/>
      <c r="I295" s="66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28"/>
      <c r="G296" s="28"/>
      <c r="H296" s="66"/>
      <c r="I296" s="66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28"/>
      <c r="G297" s="28"/>
      <c r="H297" s="66"/>
      <c r="I297" s="66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28"/>
      <c r="G298" s="28"/>
      <c r="H298" s="66"/>
      <c r="I298" s="66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28"/>
      <c r="G299" s="28"/>
      <c r="H299" s="66"/>
      <c r="I299" s="66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28"/>
      <c r="G300" s="28"/>
      <c r="H300" s="66"/>
      <c r="I300" s="66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28"/>
      <c r="G301" s="28"/>
      <c r="H301" s="66"/>
      <c r="I301" s="66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28"/>
      <c r="G302" s="28"/>
      <c r="H302" s="66"/>
      <c r="I302" s="66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28"/>
      <c r="G303" s="28"/>
      <c r="H303" s="66"/>
      <c r="I303" s="66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28"/>
      <c r="G304" s="28"/>
      <c r="H304" s="66"/>
      <c r="I304" s="66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28"/>
      <c r="G305" s="28"/>
      <c r="H305" s="66"/>
      <c r="I305" s="66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28"/>
      <c r="G306" s="28"/>
      <c r="H306" s="66"/>
      <c r="I306" s="66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28"/>
      <c r="G307" s="28"/>
      <c r="H307" s="66"/>
      <c r="I307" s="66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28"/>
      <c r="G308" s="28"/>
      <c r="H308" s="66"/>
      <c r="I308" s="66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28"/>
      <c r="G309" s="28"/>
      <c r="H309" s="66"/>
      <c r="I309" s="66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28"/>
      <c r="G310" s="28"/>
      <c r="H310" s="66"/>
      <c r="I310" s="66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28"/>
      <c r="G311" s="28"/>
      <c r="H311" s="66"/>
      <c r="I311" s="66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28"/>
      <c r="G312" s="28"/>
      <c r="H312" s="66"/>
      <c r="I312" s="66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28"/>
      <c r="G313" s="28"/>
      <c r="H313" s="66"/>
      <c r="I313" s="66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28"/>
      <c r="G314" s="28"/>
      <c r="H314" s="66"/>
      <c r="I314" s="66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28"/>
      <c r="G315" s="28"/>
      <c r="H315" s="66"/>
      <c r="I315" s="66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28"/>
      <c r="G316" s="28"/>
      <c r="H316" s="66"/>
      <c r="I316" s="66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28"/>
      <c r="G317" s="28"/>
      <c r="H317" s="66"/>
      <c r="I317" s="66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28"/>
      <c r="G318" s="28"/>
      <c r="H318" s="66"/>
      <c r="I318" s="66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28"/>
      <c r="G319" s="28"/>
      <c r="H319" s="66"/>
      <c r="I319" s="66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28"/>
      <c r="G320" s="28"/>
      <c r="H320" s="66"/>
      <c r="I320" s="66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28"/>
      <c r="G321" s="28"/>
      <c r="H321" s="66"/>
      <c r="I321" s="66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28"/>
      <c r="G322" s="28"/>
      <c r="H322" s="66"/>
      <c r="I322" s="66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28"/>
      <c r="G323" s="28"/>
      <c r="H323" s="66"/>
      <c r="I323" s="66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28"/>
      <c r="G324" s="28"/>
      <c r="H324" s="66"/>
      <c r="I324" s="66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28"/>
      <c r="G325" s="28"/>
      <c r="H325" s="66"/>
      <c r="I325" s="66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28"/>
      <c r="G326" s="28"/>
      <c r="H326" s="66"/>
      <c r="I326" s="66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28"/>
      <c r="G327" s="28"/>
      <c r="H327" s="66"/>
      <c r="I327" s="66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28"/>
      <c r="G328" s="28"/>
      <c r="H328" s="66"/>
      <c r="I328" s="66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28"/>
      <c r="G329" s="28"/>
      <c r="H329" s="66"/>
      <c r="I329" s="66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28"/>
      <c r="G330" s="28"/>
      <c r="H330" s="66"/>
      <c r="I330" s="66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28"/>
      <c r="G331" s="28"/>
      <c r="H331" s="66"/>
      <c r="I331" s="66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28"/>
      <c r="G332" s="28"/>
      <c r="H332" s="66"/>
      <c r="I332" s="66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28"/>
      <c r="G333" s="28"/>
      <c r="H333" s="66"/>
      <c r="I333" s="66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28"/>
      <c r="G334" s="28"/>
      <c r="H334" s="66"/>
      <c r="I334" s="66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28"/>
      <c r="G335" s="28"/>
      <c r="H335" s="66"/>
      <c r="I335" s="66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28"/>
      <c r="G336" s="28"/>
      <c r="H336" s="66"/>
      <c r="I336" s="66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28"/>
      <c r="G337" s="28"/>
      <c r="H337" s="66"/>
      <c r="I337" s="66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28"/>
      <c r="G338" s="28"/>
      <c r="H338" s="66"/>
      <c r="I338" s="66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28"/>
      <c r="G339" s="28"/>
      <c r="H339" s="66"/>
      <c r="I339" s="66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28"/>
      <c r="G340" s="28"/>
      <c r="H340" s="66"/>
      <c r="I340" s="66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28"/>
      <c r="G341" s="28"/>
      <c r="H341" s="66"/>
      <c r="I341" s="66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28"/>
      <c r="G342" s="28"/>
      <c r="H342" s="66"/>
      <c r="I342" s="66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28"/>
      <c r="G343" s="28"/>
      <c r="H343" s="66"/>
      <c r="I343" s="66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28"/>
      <c r="G344" s="28"/>
      <c r="H344" s="66"/>
      <c r="I344" s="66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28"/>
      <c r="G345" s="28"/>
      <c r="H345" s="66"/>
      <c r="I345" s="66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28"/>
      <c r="G346" s="28"/>
      <c r="H346" s="66"/>
      <c r="I346" s="66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28"/>
      <c r="G347" s="28"/>
      <c r="H347" s="66"/>
      <c r="I347" s="66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28"/>
      <c r="G348" s="28"/>
      <c r="H348" s="66"/>
      <c r="I348" s="66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28"/>
      <c r="G349" s="28"/>
      <c r="H349" s="66"/>
      <c r="I349" s="66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28"/>
      <c r="G350" s="28"/>
      <c r="H350" s="66"/>
      <c r="I350" s="66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28"/>
      <c r="G351" s="28"/>
      <c r="H351" s="66"/>
      <c r="I351" s="66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28"/>
      <c r="G352" s="28"/>
      <c r="H352" s="66"/>
      <c r="I352" s="66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28"/>
      <c r="G353" s="28"/>
      <c r="H353" s="66"/>
      <c r="I353" s="66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28"/>
      <c r="G354" s="28"/>
      <c r="H354" s="66"/>
      <c r="I354" s="66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28"/>
      <c r="G355" s="28"/>
      <c r="H355" s="66"/>
      <c r="I355" s="66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28"/>
      <c r="G356" s="28"/>
      <c r="H356" s="66"/>
      <c r="I356" s="66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28"/>
      <c r="G357" s="28"/>
      <c r="H357" s="66"/>
      <c r="I357" s="66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28"/>
      <c r="G358" s="28"/>
      <c r="H358" s="66"/>
      <c r="I358" s="66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28"/>
      <c r="G359" s="28"/>
      <c r="H359" s="66"/>
      <c r="I359" s="66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28"/>
      <c r="G360" s="28"/>
      <c r="H360" s="66"/>
      <c r="I360" s="66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28"/>
      <c r="G361" s="28"/>
      <c r="H361" s="66"/>
      <c r="I361" s="66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28"/>
      <c r="G362" s="28"/>
      <c r="H362" s="66"/>
      <c r="I362" s="66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28"/>
      <c r="G363" s="28"/>
      <c r="H363" s="66"/>
      <c r="I363" s="66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28"/>
      <c r="G364" s="28"/>
      <c r="H364" s="66"/>
      <c r="I364" s="66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28"/>
      <c r="G365" s="28"/>
      <c r="H365" s="66"/>
      <c r="I365" s="66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28"/>
      <c r="G366" s="28"/>
      <c r="H366" s="66"/>
      <c r="I366" s="66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28"/>
      <c r="G367" s="28"/>
      <c r="H367" s="66"/>
      <c r="I367" s="66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28"/>
      <c r="G368" s="28"/>
      <c r="H368" s="66"/>
      <c r="I368" s="66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28"/>
      <c r="G369" s="28"/>
      <c r="H369" s="66"/>
      <c r="I369" s="66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28"/>
      <c r="G370" s="28"/>
      <c r="H370" s="66"/>
      <c r="I370" s="66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28"/>
      <c r="G371" s="28"/>
      <c r="H371" s="66"/>
      <c r="I371" s="66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28"/>
      <c r="G372" s="28"/>
      <c r="H372" s="66"/>
      <c r="I372" s="66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28"/>
      <c r="G373" s="28"/>
      <c r="H373" s="66"/>
      <c r="I373" s="66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28"/>
      <c r="G374" s="28"/>
      <c r="H374" s="66"/>
      <c r="I374" s="66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28"/>
      <c r="G375" s="28"/>
      <c r="H375" s="66"/>
      <c r="I375" s="66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28"/>
      <c r="G376" s="28"/>
      <c r="H376" s="66"/>
      <c r="I376" s="66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28"/>
      <c r="G377" s="28"/>
      <c r="H377" s="66"/>
      <c r="I377" s="66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28"/>
      <c r="G378" s="28"/>
      <c r="H378" s="66"/>
      <c r="I378" s="66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28"/>
      <c r="G379" s="28"/>
      <c r="H379" s="66"/>
      <c r="I379" s="66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28"/>
      <c r="G380" s="28"/>
      <c r="H380" s="66"/>
      <c r="I380" s="66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28"/>
      <c r="G381" s="28"/>
      <c r="H381" s="66"/>
      <c r="I381" s="66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28"/>
      <c r="G382" s="28"/>
      <c r="H382" s="66"/>
      <c r="I382" s="66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28"/>
      <c r="G383" s="28"/>
      <c r="H383" s="66"/>
      <c r="I383" s="66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28"/>
      <c r="G384" s="28"/>
      <c r="H384" s="66"/>
      <c r="I384" s="66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28"/>
      <c r="G385" s="28"/>
      <c r="H385" s="66"/>
      <c r="I385" s="66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28"/>
      <c r="G386" s="28"/>
      <c r="H386" s="66"/>
      <c r="I386" s="66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28"/>
      <c r="G387" s="28"/>
      <c r="H387" s="66"/>
      <c r="I387" s="66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28"/>
      <c r="G388" s="28"/>
      <c r="H388" s="66"/>
      <c r="I388" s="66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28"/>
      <c r="G389" s="28"/>
      <c r="H389" s="66"/>
      <c r="I389" s="66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28"/>
      <c r="G390" s="28"/>
      <c r="H390" s="66"/>
      <c r="I390" s="66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28"/>
      <c r="G391" s="28"/>
      <c r="H391" s="66"/>
      <c r="I391" s="66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28"/>
      <c r="G392" s="28"/>
      <c r="H392" s="66"/>
      <c r="I392" s="66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28"/>
      <c r="G393" s="28"/>
      <c r="H393" s="66"/>
      <c r="I393" s="66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28"/>
      <c r="G394" s="28"/>
      <c r="H394" s="66"/>
      <c r="I394" s="66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28"/>
      <c r="G395" s="28"/>
      <c r="H395" s="66"/>
      <c r="I395" s="66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28"/>
      <c r="G396" s="28"/>
      <c r="H396" s="66"/>
      <c r="I396" s="66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28"/>
      <c r="G397" s="28"/>
      <c r="H397" s="66"/>
      <c r="I397" s="66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28"/>
      <c r="G398" s="28"/>
      <c r="H398" s="66"/>
      <c r="I398" s="66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28"/>
      <c r="G399" s="28"/>
      <c r="H399" s="66"/>
      <c r="I399" s="66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28"/>
      <c r="G400" s="28"/>
      <c r="H400" s="66"/>
      <c r="I400" s="66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28"/>
      <c r="G401" s="28"/>
      <c r="H401" s="66"/>
      <c r="I401" s="66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28"/>
      <c r="G402" s="28"/>
      <c r="H402" s="66"/>
      <c r="I402" s="66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28"/>
      <c r="G403" s="28"/>
      <c r="H403" s="66"/>
      <c r="I403" s="66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28"/>
      <c r="G404" s="28"/>
      <c r="H404" s="66"/>
      <c r="I404" s="66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28"/>
      <c r="G405" s="28"/>
      <c r="H405" s="66"/>
      <c r="I405" s="66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28"/>
      <c r="G406" s="28"/>
      <c r="H406" s="66"/>
      <c r="I406" s="66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28"/>
      <c r="G407" s="28"/>
      <c r="H407" s="66"/>
      <c r="I407" s="66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28"/>
      <c r="G408" s="28"/>
      <c r="H408" s="66"/>
      <c r="I408" s="66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28"/>
      <c r="G409" s="28"/>
      <c r="H409" s="66"/>
      <c r="I409" s="66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28"/>
      <c r="G410" s="28"/>
      <c r="H410" s="66"/>
      <c r="I410" s="66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28"/>
      <c r="G411" s="28"/>
      <c r="H411" s="66"/>
      <c r="I411" s="66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28"/>
      <c r="G412" s="28"/>
      <c r="H412" s="66"/>
      <c r="I412" s="66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28"/>
      <c r="G413" s="28"/>
      <c r="H413" s="66"/>
      <c r="I413" s="66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28"/>
      <c r="G414" s="28"/>
      <c r="H414" s="66"/>
      <c r="I414" s="66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28"/>
      <c r="G415" s="28"/>
      <c r="H415" s="66"/>
      <c r="I415" s="66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28"/>
      <c r="G416" s="28"/>
      <c r="H416" s="66"/>
      <c r="I416" s="66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28"/>
      <c r="G417" s="28"/>
      <c r="H417" s="66"/>
      <c r="I417" s="66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28"/>
      <c r="G418" s="28"/>
      <c r="H418" s="66"/>
      <c r="I418" s="66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28"/>
      <c r="G419" s="28"/>
      <c r="H419" s="66"/>
      <c r="I419" s="66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28"/>
      <c r="G420" s="28"/>
      <c r="H420" s="66"/>
      <c r="I420" s="66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28"/>
      <c r="G421" s="28"/>
      <c r="H421" s="66"/>
      <c r="I421" s="66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28"/>
      <c r="G422" s="28"/>
      <c r="H422" s="66"/>
      <c r="I422" s="66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28"/>
      <c r="G423" s="28"/>
      <c r="H423" s="66"/>
      <c r="I423" s="66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28"/>
      <c r="G424" s="28"/>
      <c r="H424" s="66"/>
      <c r="I424" s="66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28"/>
      <c r="G425" s="28"/>
      <c r="H425" s="66"/>
      <c r="I425" s="66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28"/>
      <c r="G426" s="28"/>
      <c r="H426" s="66"/>
      <c r="I426" s="66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28"/>
      <c r="G427" s="28"/>
      <c r="H427" s="66"/>
      <c r="I427" s="66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28"/>
      <c r="G428" s="28"/>
      <c r="H428" s="66"/>
      <c r="I428" s="66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28"/>
      <c r="G429" s="28"/>
      <c r="H429" s="66"/>
      <c r="I429" s="66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28"/>
      <c r="G430" s="28"/>
      <c r="H430" s="66"/>
      <c r="I430" s="66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28"/>
      <c r="G431" s="28"/>
      <c r="H431" s="66"/>
      <c r="I431" s="66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28"/>
      <c r="G432" s="28"/>
      <c r="H432" s="66"/>
      <c r="I432" s="66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28"/>
      <c r="G433" s="28"/>
      <c r="H433" s="66"/>
      <c r="I433" s="66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28"/>
      <c r="G434" s="28"/>
      <c r="H434" s="66"/>
      <c r="I434" s="66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28"/>
      <c r="G435" s="28"/>
      <c r="H435" s="66"/>
      <c r="I435" s="66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28"/>
      <c r="G436" s="28"/>
      <c r="H436" s="66"/>
      <c r="I436" s="66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28"/>
      <c r="G437" s="28"/>
      <c r="H437" s="66"/>
      <c r="I437" s="66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28"/>
      <c r="G438" s="28"/>
      <c r="H438" s="66"/>
      <c r="I438" s="66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28"/>
      <c r="G439" s="28"/>
      <c r="H439" s="66"/>
      <c r="I439" s="66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28"/>
      <c r="G440" s="28"/>
      <c r="H440" s="66"/>
      <c r="I440" s="66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28"/>
      <c r="G441" s="28"/>
      <c r="H441" s="66"/>
      <c r="I441" s="66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28"/>
      <c r="G442" s="28"/>
      <c r="H442" s="66"/>
      <c r="I442" s="66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28"/>
      <c r="G443" s="28"/>
      <c r="H443" s="66"/>
      <c r="I443" s="66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28"/>
      <c r="G444" s="28"/>
      <c r="H444" s="66"/>
      <c r="I444" s="66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28"/>
      <c r="G445" s="28"/>
      <c r="H445" s="66"/>
      <c r="I445" s="66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28"/>
      <c r="G446" s="28"/>
      <c r="H446" s="66"/>
      <c r="I446" s="66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28"/>
      <c r="G447" s="28"/>
      <c r="H447" s="66"/>
      <c r="I447" s="66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28"/>
      <c r="G448" s="28"/>
      <c r="H448" s="66"/>
      <c r="I448" s="66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28"/>
      <c r="G449" s="28"/>
      <c r="H449" s="66"/>
      <c r="I449" s="66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28"/>
      <c r="G450" s="28"/>
      <c r="H450" s="66"/>
      <c r="I450" s="66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28"/>
      <c r="G451" s="28"/>
      <c r="H451" s="66"/>
      <c r="I451" s="66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28"/>
      <c r="G452" s="28"/>
      <c r="H452" s="66"/>
      <c r="I452" s="66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28"/>
      <c r="G453" s="28"/>
      <c r="H453" s="66"/>
      <c r="I453" s="66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28"/>
      <c r="G454" s="28"/>
      <c r="H454" s="66"/>
      <c r="I454" s="66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28"/>
      <c r="G455" s="28"/>
      <c r="H455" s="66"/>
      <c r="I455" s="66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28"/>
      <c r="G456" s="28"/>
      <c r="H456" s="66"/>
      <c r="I456" s="66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28"/>
      <c r="G457" s="28"/>
      <c r="H457" s="66"/>
      <c r="I457" s="66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28"/>
      <c r="G458" s="28"/>
      <c r="H458" s="66"/>
      <c r="I458" s="66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28"/>
      <c r="G459" s="28"/>
      <c r="H459" s="66"/>
      <c r="I459" s="66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28"/>
      <c r="G460" s="28"/>
      <c r="H460" s="66"/>
      <c r="I460" s="66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28"/>
      <c r="G461" s="28"/>
      <c r="H461" s="66"/>
      <c r="I461" s="66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28"/>
      <c r="G462" s="28"/>
      <c r="H462" s="66"/>
      <c r="I462" s="66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28"/>
      <c r="G463" s="28"/>
      <c r="H463" s="66"/>
      <c r="I463" s="66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28"/>
      <c r="G464" s="28"/>
      <c r="H464" s="66"/>
      <c r="I464" s="66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28"/>
      <c r="G465" s="28"/>
      <c r="H465" s="66"/>
      <c r="I465" s="66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28"/>
      <c r="G466" s="28"/>
      <c r="H466" s="66"/>
      <c r="I466" s="66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28"/>
      <c r="G467" s="28"/>
      <c r="H467" s="66"/>
      <c r="I467" s="66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28"/>
      <c r="G468" s="28"/>
      <c r="H468" s="66"/>
      <c r="I468" s="66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28"/>
      <c r="G469" s="28"/>
      <c r="H469" s="66"/>
      <c r="I469" s="66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28"/>
      <c r="G470" s="28"/>
      <c r="H470" s="66"/>
      <c r="I470" s="66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28"/>
      <c r="G471" s="28"/>
      <c r="H471" s="66"/>
      <c r="I471" s="66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28"/>
      <c r="G472" s="28"/>
      <c r="H472" s="66"/>
      <c r="I472" s="66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28"/>
      <c r="G473" s="28"/>
      <c r="H473" s="66"/>
      <c r="I473" s="66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28"/>
      <c r="G474" s="28"/>
      <c r="H474" s="66"/>
      <c r="I474" s="66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28"/>
      <c r="G475" s="28"/>
      <c r="H475" s="66"/>
      <c r="I475" s="66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28"/>
      <c r="G476" s="28"/>
      <c r="H476" s="66"/>
      <c r="I476" s="66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28"/>
      <c r="G477" s="28"/>
      <c r="H477" s="66"/>
      <c r="I477" s="66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28"/>
      <c r="G478" s="28"/>
      <c r="H478" s="66"/>
      <c r="I478" s="66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28"/>
      <c r="G479" s="28"/>
      <c r="H479" s="66"/>
      <c r="I479" s="66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28"/>
      <c r="G480" s="28"/>
      <c r="H480" s="66"/>
      <c r="I480" s="66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28"/>
      <c r="G481" s="28"/>
      <c r="H481" s="66"/>
      <c r="I481" s="66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28"/>
      <c r="G482" s="28"/>
      <c r="H482" s="66"/>
      <c r="I482" s="66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28"/>
      <c r="G483" s="28"/>
      <c r="H483" s="66"/>
      <c r="I483" s="66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28"/>
      <c r="G484" s="28"/>
      <c r="H484" s="66"/>
      <c r="I484" s="66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28"/>
      <c r="G485" s="28"/>
      <c r="H485" s="66"/>
      <c r="I485" s="66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28"/>
      <c r="G486" s="28"/>
      <c r="H486" s="66"/>
      <c r="I486" s="66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28"/>
      <c r="G487" s="28"/>
      <c r="H487" s="66"/>
      <c r="I487" s="66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28"/>
      <c r="G488" s="28"/>
      <c r="H488" s="66"/>
      <c r="I488" s="66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28"/>
      <c r="G489" s="28"/>
      <c r="H489" s="66"/>
      <c r="I489" s="66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28"/>
      <c r="G490" s="28"/>
      <c r="H490" s="66"/>
      <c r="I490" s="66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28"/>
      <c r="G491" s="28"/>
      <c r="H491" s="66"/>
      <c r="I491" s="66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28"/>
      <c r="G492" s="28"/>
      <c r="H492" s="66"/>
      <c r="I492" s="66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28"/>
      <c r="G493" s="28"/>
      <c r="H493" s="66"/>
      <c r="I493" s="66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28"/>
      <c r="G494" s="28"/>
      <c r="H494" s="66"/>
      <c r="I494" s="66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28"/>
      <c r="G495" s="28"/>
      <c r="H495" s="66"/>
      <c r="I495" s="66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28"/>
      <c r="G496" s="28"/>
      <c r="H496" s="66"/>
      <c r="I496" s="66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28"/>
      <c r="G497" s="28"/>
      <c r="H497" s="66"/>
      <c r="I497" s="66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28"/>
      <c r="G498" s="28"/>
      <c r="H498" s="66"/>
      <c r="I498" s="66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28"/>
      <c r="G499" s="28"/>
      <c r="H499" s="66"/>
      <c r="I499" s="66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28"/>
      <c r="G500" s="28"/>
      <c r="H500" s="66"/>
      <c r="I500" s="66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28"/>
      <c r="G501" s="28"/>
      <c r="H501" s="66"/>
      <c r="I501" s="66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28"/>
      <c r="G502" s="28"/>
      <c r="H502" s="66"/>
      <c r="I502" s="66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28"/>
      <c r="G503" s="28"/>
      <c r="H503" s="66"/>
      <c r="I503" s="66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28"/>
      <c r="G504" s="28"/>
      <c r="H504" s="66"/>
      <c r="I504" s="66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28"/>
      <c r="G505" s="28"/>
      <c r="H505" s="66"/>
      <c r="I505" s="66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28"/>
      <c r="G506" s="28"/>
      <c r="H506" s="66"/>
      <c r="I506" s="66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28"/>
      <c r="G507" s="28"/>
      <c r="H507" s="66"/>
      <c r="I507" s="66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28"/>
      <c r="G508" s="28"/>
      <c r="H508" s="66"/>
      <c r="I508" s="66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28"/>
      <c r="G509" s="28"/>
      <c r="H509" s="66"/>
      <c r="I509" s="66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28"/>
      <c r="G510" s="28"/>
      <c r="H510" s="66"/>
      <c r="I510" s="66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28"/>
      <c r="G511" s="28"/>
      <c r="H511" s="66"/>
      <c r="I511" s="66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28"/>
      <c r="G512" s="28"/>
      <c r="H512" s="66"/>
      <c r="I512" s="66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28"/>
      <c r="G513" s="28"/>
      <c r="H513" s="66"/>
      <c r="I513" s="66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28"/>
      <c r="G514" s="28"/>
      <c r="H514" s="66"/>
      <c r="I514" s="66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28"/>
      <c r="G515" s="28"/>
      <c r="H515" s="66"/>
      <c r="I515" s="66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28"/>
      <c r="G516" s="28"/>
      <c r="H516" s="66"/>
      <c r="I516" s="66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28"/>
      <c r="G517" s="28"/>
      <c r="H517" s="66"/>
      <c r="I517" s="66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28"/>
      <c r="G518" s="28"/>
      <c r="H518" s="66"/>
      <c r="I518" s="66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28"/>
      <c r="G519" s="28"/>
      <c r="H519" s="66"/>
      <c r="I519" s="66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28"/>
      <c r="G520" s="28"/>
      <c r="H520" s="66"/>
      <c r="I520" s="66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28"/>
      <c r="G521" s="28"/>
      <c r="H521" s="66"/>
      <c r="I521" s="66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28"/>
      <c r="G522" s="28"/>
      <c r="H522" s="66"/>
      <c r="I522" s="66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28"/>
      <c r="G523" s="28"/>
      <c r="H523" s="66"/>
      <c r="I523" s="66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28"/>
      <c r="G524" s="28"/>
      <c r="H524" s="66"/>
      <c r="I524" s="66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28"/>
      <c r="G525" s="28"/>
      <c r="H525" s="66"/>
      <c r="I525" s="66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28"/>
      <c r="G526" s="28"/>
      <c r="H526" s="66"/>
      <c r="I526" s="66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28"/>
      <c r="G527" s="28"/>
      <c r="H527" s="66"/>
      <c r="I527" s="66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28"/>
      <c r="G528" s="28"/>
      <c r="H528" s="66"/>
      <c r="I528" s="66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28"/>
      <c r="G529" s="28"/>
      <c r="H529" s="66"/>
      <c r="I529" s="66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28"/>
      <c r="G530" s="28"/>
      <c r="H530" s="66"/>
      <c r="I530" s="66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28"/>
      <c r="G531" s="28"/>
      <c r="H531" s="66"/>
      <c r="I531" s="66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28"/>
      <c r="G532" s="28"/>
      <c r="H532" s="66"/>
      <c r="I532" s="66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28"/>
      <c r="G533" s="28"/>
      <c r="H533" s="66"/>
      <c r="I533" s="66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28"/>
      <c r="G534" s="28"/>
      <c r="H534" s="66"/>
      <c r="I534" s="66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28"/>
      <c r="G535" s="28"/>
      <c r="H535" s="66"/>
      <c r="I535" s="66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28"/>
      <c r="G536" s="28"/>
      <c r="H536" s="66"/>
      <c r="I536" s="66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28"/>
      <c r="G537" s="28"/>
      <c r="H537" s="66"/>
      <c r="I537" s="66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28"/>
      <c r="G538" s="28"/>
      <c r="H538" s="66"/>
      <c r="I538" s="66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28"/>
      <c r="G539" s="28"/>
      <c r="H539" s="66"/>
      <c r="I539" s="66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28"/>
      <c r="G540" s="28"/>
      <c r="H540" s="66"/>
      <c r="I540" s="66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28"/>
      <c r="G541" s="28"/>
      <c r="H541" s="66"/>
      <c r="I541" s="66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28"/>
      <c r="G542" s="28"/>
      <c r="H542" s="66"/>
      <c r="I542" s="66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28"/>
      <c r="G543" s="28"/>
      <c r="H543" s="66"/>
      <c r="I543" s="66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28"/>
      <c r="G544" s="28"/>
      <c r="H544" s="66"/>
      <c r="I544" s="66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28"/>
      <c r="G545" s="28"/>
      <c r="H545" s="66"/>
      <c r="I545" s="66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28"/>
      <c r="G546" s="28"/>
      <c r="H546" s="66"/>
      <c r="I546" s="66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28"/>
      <c r="G547" s="28"/>
      <c r="H547" s="66"/>
      <c r="I547" s="66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28"/>
      <c r="G548" s="28"/>
      <c r="H548" s="66"/>
      <c r="I548" s="66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28"/>
      <c r="G549" s="28"/>
      <c r="H549" s="66"/>
      <c r="I549" s="66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28"/>
      <c r="G550" s="28"/>
      <c r="H550" s="66"/>
      <c r="I550" s="66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28"/>
      <c r="G551" s="28"/>
      <c r="H551" s="66"/>
      <c r="I551" s="66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28"/>
      <c r="G552" s="28"/>
      <c r="H552" s="66"/>
      <c r="I552" s="66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28"/>
      <c r="G553" s="28"/>
      <c r="H553" s="66"/>
      <c r="I553" s="66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28"/>
      <c r="G554" s="28"/>
      <c r="H554" s="66"/>
      <c r="I554" s="66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28"/>
      <c r="G555" s="28"/>
      <c r="H555" s="66"/>
      <c r="I555" s="66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28"/>
      <c r="G556" s="28"/>
      <c r="H556" s="66"/>
      <c r="I556" s="66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28"/>
      <c r="G557" s="28"/>
      <c r="H557" s="66"/>
      <c r="I557" s="66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28"/>
      <c r="G558" s="28"/>
      <c r="H558" s="66"/>
      <c r="I558" s="66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28"/>
      <c r="G559" s="28"/>
      <c r="H559" s="66"/>
      <c r="I559" s="66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28"/>
      <c r="G560" s="28"/>
      <c r="H560" s="66"/>
      <c r="I560" s="66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28"/>
      <c r="G561" s="28"/>
      <c r="H561" s="66"/>
      <c r="I561" s="66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28"/>
      <c r="G562" s="28"/>
      <c r="H562" s="66"/>
      <c r="I562" s="66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28"/>
      <c r="G563" s="28"/>
      <c r="H563" s="66"/>
      <c r="I563" s="66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28"/>
      <c r="G564" s="28"/>
      <c r="H564" s="66"/>
      <c r="I564" s="66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28"/>
      <c r="G565" s="28"/>
      <c r="H565" s="66"/>
      <c r="I565" s="66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28"/>
      <c r="G566" s="28"/>
      <c r="H566" s="66"/>
      <c r="I566" s="66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28"/>
      <c r="G567" s="28"/>
      <c r="H567" s="66"/>
      <c r="I567" s="66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28"/>
      <c r="G568" s="28"/>
      <c r="H568" s="66"/>
      <c r="I568" s="66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28"/>
      <c r="G569" s="28"/>
      <c r="H569" s="66"/>
      <c r="I569" s="66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28"/>
      <c r="G570" s="28"/>
      <c r="H570" s="66"/>
      <c r="I570" s="66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28"/>
      <c r="G571" s="28"/>
      <c r="H571" s="66"/>
      <c r="I571" s="66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28"/>
      <c r="G572" s="28"/>
      <c r="H572" s="66"/>
      <c r="I572" s="66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28"/>
      <c r="G573" s="28"/>
      <c r="H573" s="66"/>
      <c r="I573" s="66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28"/>
      <c r="G574" s="28"/>
      <c r="H574" s="66"/>
      <c r="I574" s="66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28"/>
      <c r="G575" s="28"/>
      <c r="H575" s="66"/>
      <c r="I575" s="66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28"/>
      <c r="G576" s="28"/>
      <c r="H576" s="66"/>
      <c r="I576" s="66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28"/>
      <c r="G577" s="28"/>
      <c r="H577" s="66"/>
      <c r="I577" s="66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28"/>
      <c r="G578" s="28"/>
      <c r="H578" s="66"/>
      <c r="I578" s="66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28"/>
      <c r="G579" s="28"/>
      <c r="H579" s="66"/>
      <c r="I579" s="66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28"/>
      <c r="G580" s="28"/>
      <c r="H580" s="66"/>
      <c r="I580" s="66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28"/>
      <c r="G581" s="28"/>
      <c r="H581" s="66"/>
      <c r="I581" s="66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28"/>
      <c r="G582" s="28"/>
      <c r="H582" s="66"/>
      <c r="I582" s="66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28"/>
      <c r="G583" s="28"/>
      <c r="H583" s="66"/>
      <c r="I583" s="66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28"/>
      <c r="G584" s="28"/>
      <c r="H584" s="66"/>
      <c r="I584" s="66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28"/>
      <c r="G585" s="28"/>
      <c r="H585" s="66"/>
      <c r="I585" s="66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28"/>
      <c r="G586" s="28"/>
      <c r="H586" s="66"/>
      <c r="I586" s="66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28"/>
      <c r="G587" s="28"/>
      <c r="H587" s="66"/>
      <c r="I587" s="66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28"/>
      <c r="G588" s="28"/>
      <c r="H588" s="66"/>
      <c r="I588" s="66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28"/>
      <c r="G589" s="28"/>
      <c r="H589" s="66"/>
      <c r="I589" s="66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28"/>
      <c r="G590" s="28"/>
      <c r="H590" s="66"/>
      <c r="I590" s="66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28"/>
      <c r="G591" s="28"/>
      <c r="H591" s="66"/>
      <c r="I591" s="66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28"/>
      <c r="G592" s="28"/>
      <c r="H592" s="66"/>
      <c r="I592" s="66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28"/>
      <c r="G593" s="28"/>
      <c r="H593" s="66"/>
      <c r="I593" s="66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28"/>
      <c r="G594" s="28"/>
      <c r="H594" s="66"/>
      <c r="I594" s="66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28"/>
      <c r="G595" s="28"/>
      <c r="H595" s="66"/>
      <c r="I595" s="66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28"/>
      <c r="G596" s="28"/>
      <c r="H596" s="66"/>
      <c r="I596" s="66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28"/>
      <c r="G597" s="28"/>
      <c r="H597" s="66"/>
      <c r="I597" s="66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28"/>
      <c r="G598" s="28"/>
      <c r="H598" s="66"/>
      <c r="I598" s="66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28"/>
      <c r="G599" s="28"/>
      <c r="H599" s="66"/>
      <c r="I599" s="66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28"/>
      <c r="G600" s="28"/>
      <c r="H600" s="66"/>
      <c r="I600" s="66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28"/>
      <c r="G601" s="28"/>
      <c r="H601" s="66"/>
      <c r="I601" s="66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28"/>
      <c r="G602" s="28"/>
      <c r="H602" s="66"/>
      <c r="I602" s="66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28"/>
      <c r="G603" s="28"/>
      <c r="H603" s="66"/>
      <c r="I603" s="66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28"/>
      <c r="G604" s="28"/>
      <c r="H604" s="66"/>
      <c r="I604" s="66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28"/>
      <c r="G605" s="28"/>
      <c r="H605" s="66"/>
      <c r="I605" s="66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28"/>
      <c r="G606" s="28"/>
      <c r="H606" s="66"/>
      <c r="I606" s="66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28"/>
      <c r="G607" s="28"/>
      <c r="H607" s="66"/>
      <c r="I607" s="66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28"/>
      <c r="G608" s="28"/>
      <c r="H608" s="66"/>
      <c r="I608" s="66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28"/>
      <c r="G609" s="28"/>
      <c r="H609" s="66"/>
      <c r="I609" s="66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28"/>
      <c r="G610" s="28"/>
      <c r="H610" s="66"/>
      <c r="I610" s="66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28"/>
      <c r="G611" s="28"/>
      <c r="H611" s="66"/>
      <c r="I611" s="66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28"/>
      <c r="G612" s="28"/>
      <c r="H612" s="66"/>
      <c r="I612" s="66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28"/>
      <c r="G613" s="28"/>
      <c r="H613" s="66"/>
      <c r="I613" s="66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28"/>
      <c r="G614" s="28"/>
      <c r="H614" s="66"/>
      <c r="I614" s="66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28"/>
      <c r="G615" s="28"/>
      <c r="H615" s="66"/>
      <c r="I615" s="66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28"/>
      <c r="G616" s="28"/>
      <c r="H616" s="66"/>
      <c r="I616" s="66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28"/>
      <c r="G617" s="28"/>
      <c r="H617" s="66"/>
      <c r="I617" s="66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28"/>
      <c r="G618" s="28"/>
      <c r="H618" s="66"/>
      <c r="I618" s="66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28"/>
      <c r="G619" s="28"/>
      <c r="H619" s="66"/>
      <c r="I619" s="66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28"/>
      <c r="G620" s="28"/>
      <c r="H620" s="66"/>
      <c r="I620" s="66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28"/>
      <c r="G621" s="28"/>
      <c r="H621" s="66"/>
      <c r="I621" s="66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28"/>
      <c r="G622" s="28"/>
      <c r="H622" s="66"/>
      <c r="I622" s="66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28"/>
      <c r="G623" s="28"/>
      <c r="H623" s="66"/>
      <c r="I623" s="66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28"/>
      <c r="G624" s="28"/>
      <c r="H624" s="66"/>
      <c r="I624" s="66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28"/>
      <c r="G625" s="28"/>
      <c r="H625" s="66"/>
      <c r="I625" s="66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28"/>
      <c r="G626" s="28"/>
      <c r="H626" s="66"/>
      <c r="I626" s="66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28"/>
      <c r="G627" s="28"/>
      <c r="H627" s="66"/>
      <c r="I627" s="66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28"/>
      <c r="G628" s="28"/>
      <c r="H628" s="66"/>
      <c r="I628" s="66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28"/>
      <c r="G629" s="28"/>
      <c r="H629" s="66"/>
      <c r="I629" s="66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28"/>
      <c r="G630" s="28"/>
      <c r="H630" s="66"/>
      <c r="I630" s="66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28"/>
      <c r="G631" s="28"/>
      <c r="H631" s="66"/>
      <c r="I631" s="66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28"/>
      <c r="G632" s="28"/>
      <c r="H632" s="66"/>
      <c r="I632" s="66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28"/>
      <c r="G633" s="28"/>
      <c r="H633" s="66"/>
      <c r="I633" s="66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28"/>
      <c r="G634" s="28"/>
      <c r="H634" s="66"/>
      <c r="I634" s="66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28"/>
      <c r="G635" s="28"/>
      <c r="H635" s="66"/>
      <c r="I635" s="66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28"/>
      <c r="G636" s="28"/>
      <c r="H636" s="66"/>
      <c r="I636" s="66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28"/>
      <c r="G637" s="28"/>
      <c r="H637" s="66"/>
      <c r="I637" s="66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28"/>
      <c r="G638" s="28"/>
      <c r="H638" s="66"/>
      <c r="I638" s="66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28"/>
      <c r="G639" s="28"/>
      <c r="H639" s="66"/>
      <c r="I639" s="66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28"/>
      <c r="G640" s="28"/>
      <c r="H640" s="66"/>
      <c r="I640" s="66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28"/>
      <c r="G641" s="28"/>
      <c r="H641" s="66"/>
      <c r="I641" s="66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28"/>
      <c r="G642" s="28"/>
      <c r="H642" s="66"/>
      <c r="I642" s="66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28"/>
      <c r="G643" s="28"/>
      <c r="H643" s="66"/>
      <c r="I643" s="66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28"/>
      <c r="G644" s="28"/>
      <c r="H644" s="66"/>
      <c r="I644" s="66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28"/>
      <c r="G645" s="28"/>
      <c r="H645" s="66"/>
      <c r="I645" s="66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28"/>
      <c r="G646" s="28"/>
      <c r="H646" s="66"/>
      <c r="I646" s="66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28"/>
      <c r="G647" s="28"/>
      <c r="H647" s="66"/>
      <c r="I647" s="66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28"/>
      <c r="G648" s="28"/>
      <c r="H648" s="66"/>
      <c r="I648" s="66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28"/>
      <c r="G649" s="28"/>
      <c r="H649" s="66"/>
      <c r="I649" s="66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28"/>
      <c r="G650" s="28"/>
      <c r="H650" s="66"/>
      <c r="I650" s="66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28"/>
      <c r="G651" s="28"/>
      <c r="H651" s="66"/>
      <c r="I651" s="66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28"/>
      <c r="G652" s="28"/>
      <c r="H652" s="66"/>
      <c r="I652" s="66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28"/>
      <c r="G653" s="28"/>
      <c r="H653" s="66"/>
      <c r="I653" s="66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28"/>
      <c r="G654" s="28"/>
      <c r="H654" s="66"/>
      <c r="I654" s="66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28"/>
      <c r="G655" s="28"/>
      <c r="H655" s="66"/>
      <c r="I655" s="66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28"/>
      <c r="G656" s="28"/>
      <c r="H656" s="66"/>
      <c r="I656" s="66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28"/>
      <c r="G657" s="28"/>
      <c r="H657" s="66"/>
      <c r="I657" s="66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28"/>
      <c r="G658" s="28"/>
      <c r="H658" s="66"/>
      <c r="I658" s="66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28"/>
      <c r="G659" s="28"/>
      <c r="H659" s="66"/>
      <c r="I659" s="66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28"/>
      <c r="G660" s="28"/>
      <c r="H660" s="66"/>
      <c r="I660" s="66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28"/>
      <c r="G661" s="28"/>
      <c r="H661" s="66"/>
      <c r="I661" s="66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28"/>
      <c r="G662" s="28"/>
      <c r="H662" s="66"/>
      <c r="I662" s="66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28"/>
      <c r="G663" s="28"/>
      <c r="H663" s="66"/>
      <c r="I663" s="66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28"/>
      <c r="G664" s="28"/>
      <c r="H664" s="66"/>
      <c r="I664" s="66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28"/>
      <c r="G665" s="28"/>
      <c r="H665" s="66"/>
      <c r="I665" s="66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28"/>
      <c r="G666" s="28"/>
      <c r="H666" s="66"/>
      <c r="I666" s="66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28"/>
      <c r="G667" s="28"/>
      <c r="H667" s="66"/>
      <c r="I667" s="66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28"/>
      <c r="G668" s="28"/>
      <c r="H668" s="66"/>
      <c r="I668" s="66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28"/>
      <c r="G669" s="28"/>
      <c r="H669" s="66"/>
      <c r="I669" s="66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28"/>
      <c r="G670" s="28"/>
      <c r="H670" s="66"/>
      <c r="I670" s="66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28"/>
      <c r="G671" s="28"/>
      <c r="H671" s="66"/>
      <c r="I671" s="66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28"/>
      <c r="G672" s="28"/>
      <c r="H672" s="66"/>
      <c r="I672" s="66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28"/>
      <c r="G673" s="28"/>
      <c r="H673" s="66"/>
      <c r="I673" s="66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28"/>
      <c r="G674" s="28"/>
      <c r="H674" s="66"/>
      <c r="I674" s="66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28"/>
      <c r="G675" s="28"/>
      <c r="H675" s="66"/>
      <c r="I675" s="66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28"/>
      <c r="G676" s="28"/>
      <c r="H676" s="66"/>
      <c r="I676" s="66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28"/>
      <c r="G677" s="28"/>
      <c r="H677" s="66"/>
      <c r="I677" s="66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28"/>
      <c r="G678" s="28"/>
      <c r="H678" s="66"/>
      <c r="I678" s="66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28"/>
      <c r="G679" s="28"/>
      <c r="H679" s="66"/>
      <c r="I679" s="66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28"/>
      <c r="G680" s="28"/>
      <c r="H680" s="66"/>
      <c r="I680" s="66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28"/>
      <c r="G681" s="28"/>
      <c r="H681" s="66"/>
      <c r="I681" s="66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28"/>
      <c r="G682" s="28"/>
      <c r="H682" s="66"/>
      <c r="I682" s="66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28"/>
      <c r="G683" s="28"/>
      <c r="H683" s="66"/>
      <c r="I683" s="66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28"/>
      <c r="G684" s="28"/>
      <c r="H684" s="66"/>
      <c r="I684" s="66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28"/>
      <c r="G685" s="28"/>
      <c r="H685" s="66"/>
      <c r="I685" s="66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28"/>
      <c r="G686" s="28"/>
      <c r="H686" s="66"/>
      <c r="I686" s="66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28"/>
      <c r="G687" s="28"/>
      <c r="H687" s="66"/>
      <c r="I687" s="66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28"/>
      <c r="G688" s="28"/>
      <c r="H688" s="66"/>
      <c r="I688" s="66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28"/>
      <c r="G689" s="28"/>
      <c r="H689" s="66"/>
      <c r="I689" s="66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28"/>
      <c r="G690" s="28"/>
      <c r="H690" s="66"/>
      <c r="I690" s="66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28"/>
      <c r="G691" s="28"/>
      <c r="H691" s="66"/>
      <c r="I691" s="66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28"/>
      <c r="G692" s="28"/>
      <c r="H692" s="66"/>
      <c r="I692" s="66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28"/>
      <c r="G693" s="28"/>
      <c r="H693" s="66"/>
      <c r="I693" s="66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28"/>
      <c r="G694" s="28"/>
      <c r="H694" s="66"/>
      <c r="I694" s="66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28"/>
      <c r="G695" s="28"/>
      <c r="H695" s="66"/>
      <c r="I695" s="66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28"/>
      <c r="G696" s="28"/>
      <c r="H696" s="66"/>
      <c r="I696" s="66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28"/>
      <c r="G697" s="28"/>
      <c r="H697" s="66"/>
      <c r="I697" s="66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28"/>
      <c r="G698" s="28"/>
      <c r="H698" s="66"/>
      <c r="I698" s="66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28"/>
      <c r="G699" s="28"/>
      <c r="H699" s="66"/>
      <c r="I699" s="66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28"/>
      <c r="G700" s="28"/>
      <c r="H700" s="66"/>
      <c r="I700" s="66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28"/>
      <c r="G701" s="28"/>
      <c r="H701" s="66"/>
      <c r="I701" s="66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28"/>
      <c r="G702" s="28"/>
      <c r="H702" s="66"/>
      <c r="I702" s="66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28"/>
      <c r="G703" s="28"/>
      <c r="H703" s="66"/>
      <c r="I703" s="66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28"/>
      <c r="G704" s="28"/>
      <c r="H704" s="66"/>
      <c r="I704" s="66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28"/>
      <c r="G705" s="28"/>
      <c r="H705" s="66"/>
      <c r="I705" s="66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28"/>
      <c r="G706" s="28"/>
      <c r="H706" s="66"/>
      <c r="I706" s="66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28"/>
      <c r="G707" s="28"/>
      <c r="H707" s="66"/>
      <c r="I707" s="66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28"/>
      <c r="G708" s="28"/>
      <c r="H708" s="66"/>
      <c r="I708" s="66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28"/>
      <c r="G709" s="28"/>
      <c r="H709" s="66"/>
      <c r="I709" s="66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28"/>
      <c r="G710" s="28"/>
      <c r="H710" s="66"/>
      <c r="I710" s="66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28"/>
      <c r="G711" s="28"/>
      <c r="H711" s="66"/>
      <c r="I711" s="66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28"/>
      <c r="G712" s="28"/>
      <c r="H712" s="66"/>
      <c r="I712" s="66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28"/>
      <c r="G713" s="28"/>
      <c r="H713" s="66"/>
      <c r="I713" s="66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28"/>
      <c r="G714" s="28"/>
      <c r="H714" s="66"/>
      <c r="I714" s="66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28"/>
      <c r="G715" s="28"/>
      <c r="H715" s="66"/>
      <c r="I715" s="66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28"/>
      <c r="G716" s="28"/>
      <c r="H716" s="66"/>
      <c r="I716" s="66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28"/>
      <c r="G717" s="28"/>
      <c r="H717" s="66"/>
      <c r="I717" s="66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28"/>
      <c r="G718" s="28"/>
      <c r="H718" s="66"/>
      <c r="I718" s="66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28"/>
      <c r="G719" s="28"/>
      <c r="H719" s="66"/>
      <c r="I719" s="66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28"/>
      <c r="G720" s="28"/>
      <c r="H720" s="66"/>
      <c r="I720" s="66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28"/>
      <c r="G721" s="28"/>
      <c r="H721" s="66"/>
      <c r="I721" s="66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28"/>
      <c r="G722" s="28"/>
      <c r="H722" s="66"/>
      <c r="I722" s="66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28"/>
      <c r="G723" s="28"/>
      <c r="H723" s="66"/>
      <c r="I723" s="66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28"/>
      <c r="G724" s="28"/>
      <c r="H724" s="66"/>
      <c r="I724" s="66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28"/>
      <c r="G725" s="28"/>
      <c r="H725" s="66"/>
      <c r="I725" s="66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28"/>
      <c r="G726" s="28"/>
      <c r="H726" s="66"/>
      <c r="I726" s="66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28"/>
      <c r="G727" s="28"/>
      <c r="H727" s="66"/>
      <c r="I727" s="66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28"/>
      <c r="G728" s="28"/>
      <c r="H728" s="66"/>
      <c r="I728" s="66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28"/>
      <c r="G729" s="28"/>
      <c r="H729" s="66"/>
      <c r="I729" s="66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28"/>
      <c r="G730" s="28"/>
      <c r="H730" s="66"/>
      <c r="I730" s="66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28"/>
      <c r="G731" s="28"/>
      <c r="H731" s="66"/>
      <c r="I731" s="66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28"/>
      <c r="G732" s="28"/>
      <c r="H732" s="66"/>
      <c r="I732" s="66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28"/>
      <c r="G733" s="28"/>
      <c r="H733" s="66"/>
      <c r="I733" s="66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28"/>
      <c r="G734" s="28"/>
      <c r="H734" s="66"/>
      <c r="I734" s="66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28"/>
      <c r="G735" s="28"/>
      <c r="H735" s="66"/>
      <c r="I735" s="66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28"/>
      <c r="G736" s="28"/>
      <c r="H736" s="66"/>
      <c r="I736" s="66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28"/>
      <c r="G737" s="28"/>
      <c r="H737" s="66"/>
      <c r="I737" s="66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28"/>
      <c r="G738" s="28"/>
      <c r="H738" s="66"/>
      <c r="I738" s="66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28"/>
      <c r="G739" s="28"/>
      <c r="H739" s="66"/>
      <c r="I739" s="66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28"/>
      <c r="G740" s="28"/>
      <c r="H740" s="66"/>
      <c r="I740" s="66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28"/>
      <c r="G741" s="28"/>
      <c r="H741" s="66"/>
      <c r="I741" s="66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28"/>
      <c r="G742" s="28"/>
      <c r="H742" s="66"/>
      <c r="I742" s="66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28"/>
      <c r="G743" s="28"/>
      <c r="H743" s="66"/>
      <c r="I743" s="66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28"/>
      <c r="G744" s="28"/>
      <c r="H744" s="66"/>
      <c r="I744" s="66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28"/>
      <c r="G745" s="28"/>
      <c r="H745" s="66"/>
      <c r="I745" s="66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28"/>
      <c r="G746" s="28"/>
      <c r="H746" s="66"/>
      <c r="I746" s="66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28"/>
      <c r="G747" s="28"/>
      <c r="H747" s="66"/>
      <c r="I747" s="66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28"/>
      <c r="G748" s="28"/>
      <c r="H748" s="66"/>
      <c r="I748" s="66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28"/>
      <c r="G749" s="28"/>
      <c r="H749" s="66"/>
      <c r="I749" s="66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28"/>
      <c r="G750" s="28"/>
      <c r="H750" s="66"/>
      <c r="I750" s="66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28"/>
      <c r="G751" s="28"/>
      <c r="H751" s="66"/>
      <c r="I751" s="66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28"/>
      <c r="G752" s="28"/>
      <c r="H752" s="66"/>
      <c r="I752" s="66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28"/>
      <c r="G753" s="28"/>
      <c r="H753" s="66"/>
      <c r="I753" s="66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28"/>
      <c r="G754" s="28"/>
      <c r="H754" s="66"/>
      <c r="I754" s="66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28"/>
      <c r="G755" s="28"/>
      <c r="H755" s="66"/>
      <c r="I755" s="66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28"/>
      <c r="G756" s="28"/>
      <c r="H756" s="66"/>
      <c r="I756" s="66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28"/>
      <c r="G757" s="28"/>
      <c r="H757" s="66"/>
      <c r="I757" s="66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28"/>
      <c r="G758" s="28"/>
      <c r="H758" s="66"/>
      <c r="I758" s="66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28"/>
      <c r="G759" s="28"/>
      <c r="H759" s="66"/>
      <c r="I759" s="66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28"/>
      <c r="G760" s="28"/>
      <c r="H760" s="66"/>
      <c r="I760" s="66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28"/>
      <c r="G761" s="28"/>
      <c r="H761" s="66"/>
      <c r="I761" s="66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28"/>
      <c r="G762" s="28"/>
      <c r="H762" s="66"/>
      <c r="I762" s="66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28"/>
      <c r="G763" s="28"/>
      <c r="H763" s="66"/>
      <c r="I763" s="66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28"/>
      <c r="G764" s="28"/>
      <c r="H764" s="66"/>
      <c r="I764" s="66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28"/>
      <c r="G765" s="28"/>
      <c r="H765" s="66"/>
      <c r="I765" s="66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28"/>
      <c r="G766" s="28"/>
      <c r="H766" s="66"/>
      <c r="I766" s="66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28"/>
      <c r="G767" s="28"/>
      <c r="H767" s="66"/>
      <c r="I767" s="66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28"/>
      <c r="G768" s="28"/>
      <c r="H768" s="66"/>
      <c r="I768" s="66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28"/>
      <c r="G769" s="28"/>
      <c r="H769" s="66"/>
      <c r="I769" s="66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28"/>
      <c r="G770" s="28"/>
      <c r="H770" s="66"/>
      <c r="I770" s="66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28"/>
      <c r="G771" s="28"/>
      <c r="H771" s="66"/>
      <c r="I771" s="66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28"/>
      <c r="G772" s="28"/>
      <c r="H772" s="66"/>
      <c r="I772" s="66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28"/>
      <c r="G773" s="28"/>
      <c r="H773" s="66"/>
      <c r="I773" s="66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28"/>
      <c r="G774" s="28"/>
      <c r="H774" s="66"/>
      <c r="I774" s="66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28"/>
      <c r="G775" s="28"/>
      <c r="H775" s="66"/>
      <c r="I775" s="66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28"/>
      <c r="G776" s="28"/>
      <c r="H776" s="66"/>
      <c r="I776" s="66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28"/>
      <c r="G777" s="28"/>
      <c r="H777" s="66"/>
      <c r="I777" s="66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28"/>
      <c r="G778" s="28"/>
      <c r="H778" s="66"/>
      <c r="I778" s="66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28"/>
      <c r="G779" s="28"/>
      <c r="H779" s="66"/>
      <c r="I779" s="66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28"/>
      <c r="G780" s="28"/>
      <c r="H780" s="66"/>
      <c r="I780" s="66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28"/>
      <c r="G781" s="28"/>
      <c r="H781" s="66"/>
      <c r="I781" s="66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28"/>
      <c r="G782" s="28"/>
      <c r="H782" s="66"/>
      <c r="I782" s="66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28"/>
      <c r="G783" s="28"/>
      <c r="H783" s="66"/>
      <c r="I783" s="66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28"/>
      <c r="G784" s="28"/>
      <c r="H784" s="66"/>
      <c r="I784" s="66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28"/>
      <c r="G785" s="28"/>
      <c r="H785" s="66"/>
      <c r="I785" s="66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28"/>
      <c r="G786" s="28"/>
      <c r="H786" s="66"/>
      <c r="I786" s="66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28"/>
      <c r="G787" s="28"/>
      <c r="H787" s="66"/>
      <c r="I787" s="66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28"/>
      <c r="G788" s="28"/>
      <c r="H788" s="66"/>
      <c r="I788" s="66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28"/>
      <c r="G789" s="28"/>
      <c r="H789" s="66"/>
      <c r="I789" s="66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28"/>
      <c r="G790" s="28"/>
      <c r="H790" s="66"/>
      <c r="I790" s="66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28"/>
      <c r="G791" s="28"/>
      <c r="H791" s="66"/>
      <c r="I791" s="66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28"/>
      <c r="G792" s="28"/>
      <c r="H792" s="66"/>
      <c r="I792" s="66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28"/>
      <c r="G793" s="28"/>
      <c r="H793" s="66"/>
      <c r="I793" s="66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28"/>
      <c r="G794" s="28"/>
      <c r="H794" s="66"/>
      <c r="I794" s="66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28"/>
      <c r="G795" s="28"/>
      <c r="H795" s="66"/>
      <c r="I795" s="66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28"/>
      <c r="G796" s="28"/>
      <c r="H796" s="66"/>
      <c r="I796" s="66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28"/>
      <c r="G797" s="28"/>
      <c r="H797" s="66"/>
      <c r="I797" s="66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28"/>
      <c r="G798" s="28"/>
      <c r="H798" s="66"/>
      <c r="I798" s="66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28"/>
      <c r="G799" s="28"/>
      <c r="H799" s="66"/>
      <c r="I799" s="66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28"/>
      <c r="G800" s="28"/>
      <c r="H800" s="66"/>
      <c r="I800" s="66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28"/>
      <c r="G801" s="28"/>
      <c r="H801" s="66"/>
      <c r="I801" s="66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28"/>
      <c r="G802" s="28"/>
      <c r="H802" s="66"/>
      <c r="I802" s="66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28"/>
      <c r="G803" s="28"/>
      <c r="H803" s="66"/>
      <c r="I803" s="66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28"/>
      <c r="G804" s="28"/>
      <c r="H804" s="66"/>
      <c r="I804" s="66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28"/>
      <c r="G805" s="28"/>
      <c r="H805" s="66"/>
      <c r="I805" s="66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28"/>
      <c r="G806" s="28"/>
      <c r="H806" s="66"/>
      <c r="I806" s="66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28"/>
      <c r="G807" s="28"/>
      <c r="H807" s="66"/>
      <c r="I807" s="66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28"/>
      <c r="G808" s="28"/>
      <c r="H808" s="66"/>
      <c r="I808" s="66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28"/>
      <c r="G809" s="28"/>
      <c r="H809" s="66"/>
      <c r="I809" s="66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28"/>
      <c r="G810" s="28"/>
      <c r="H810" s="66"/>
      <c r="I810" s="66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28"/>
      <c r="G811" s="28"/>
      <c r="H811" s="66"/>
      <c r="I811" s="66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28"/>
      <c r="G812" s="28"/>
      <c r="H812" s="66"/>
      <c r="I812" s="66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28"/>
      <c r="G813" s="28"/>
      <c r="H813" s="66"/>
      <c r="I813" s="66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28"/>
      <c r="G814" s="28"/>
      <c r="H814" s="66"/>
      <c r="I814" s="66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28"/>
      <c r="G815" s="28"/>
      <c r="H815" s="66"/>
      <c r="I815" s="66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28"/>
      <c r="G816" s="28"/>
      <c r="H816" s="66"/>
      <c r="I816" s="66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28"/>
      <c r="G817" s="28"/>
      <c r="H817" s="66"/>
      <c r="I817" s="66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28"/>
      <c r="G818" s="28"/>
      <c r="H818" s="66"/>
      <c r="I818" s="66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28"/>
      <c r="G819" s="28"/>
      <c r="H819" s="66"/>
      <c r="I819" s="66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28"/>
      <c r="G820" s="28"/>
      <c r="H820" s="66"/>
      <c r="I820" s="66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28"/>
      <c r="G821" s="28"/>
      <c r="H821" s="66"/>
      <c r="I821" s="66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28"/>
      <c r="G822" s="28"/>
      <c r="H822" s="66"/>
      <c r="I822" s="66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28"/>
      <c r="G823" s="28"/>
      <c r="H823" s="66"/>
      <c r="I823" s="66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28"/>
      <c r="G824" s="28"/>
      <c r="H824" s="66"/>
      <c r="I824" s="66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28"/>
      <c r="G825" s="28"/>
      <c r="H825" s="66"/>
      <c r="I825" s="66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28"/>
      <c r="G826" s="28"/>
      <c r="H826" s="66"/>
      <c r="I826" s="66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28"/>
      <c r="G827" s="28"/>
      <c r="H827" s="66"/>
      <c r="I827" s="66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28"/>
      <c r="G828" s="28"/>
      <c r="H828" s="66"/>
      <c r="I828" s="66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28"/>
      <c r="G829" s="28"/>
      <c r="H829" s="66"/>
      <c r="I829" s="66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28"/>
      <c r="G830" s="28"/>
      <c r="H830" s="66"/>
      <c r="I830" s="66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28"/>
      <c r="G831" s="28"/>
      <c r="H831" s="66"/>
      <c r="I831" s="66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28"/>
      <c r="G832" s="28"/>
      <c r="H832" s="66"/>
      <c r="I832" s="66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28"/>
      <c r="G833" s="28"/>
      <c r="H833" s="66"/>
      <c r="I833" s="66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28"/>
      <c r="G834" s="28"/>
      <c r="H834" s="66"/>
      <c r="I834" s="66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28"/>
      <c r="G835" s="28"/>
      <c r="H835" s="66"/>
      <c r="I835" s="66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28"/>
      <c r="G836" s="28"/>
      <c r="H836" s="66"/>
      <c r="I836" s="66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28"/>
      <c r="G837" s="28"/>
      <c r="H837" s="66"/>
      <c r="I837" s="66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28"/>
      <c r="G838" s="28"/>
      <c r="H838" s="66"/>
      <c r="I838" s="66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28"/>
      <c r="G839" s="28"/>
      <c r="H839" s="66"/>
      <c r="I839" s="66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28"/>
      <c r="G840" s="28"/>
      <c r="H840" s="66"/>
      <c r="I840" s="66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28"/>
      <c r="G841" s="28"/>
      <c r="H841" s="66"/>
      <c r="I841" s="66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28"/>
      <c r="G842" s="28"/>
      <c r="H842" s="66"/>
      <c r="I842" s="66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28"/>
      <c r="G843" s="28"/>
      <c r="H843" s="66"/>
      <c r="I843" s="66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28"/>
      <c r="G844" s="28"/>
      <c r="H844" s="66"/>
      <c r="I844" s="66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28"/>
      <c r="G845" s="28"/>
      <c r="H845" s="66"/>
      <c r="I845" s="66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28"/>
      <c r="G846" s="28"/>
      <c r="H846" s="66"/>
      <c r="I846" s="66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28"/>
      <c r="G847" s="28"/>
      <c r="H847" s="66"/>
      <c r="I847" s="66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28"/>
      <c r="G848" s="28"/>
      <c r="H848" s="66"/>
      <c r="I848" s="66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28"/>
      <c r="G849" s="28"/>
      <c r="H849" s="66"/>
      <c r="I849" s="66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28"/>
      <c r="G850" s="28"/>
      <c r="H850" s="66"/>
      <c r="I850" s="66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28"/>
      <c r="G851" s="28"/>
      <c r="H851" s="66"/>
      <c r="I851" s="66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28"/>
      <c r="G852" s="28"/>
      <c r="H852" s="66"/>
      <c r="I852" s="66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28"/>
      <c r="G853" s="28"/>
      <c r="H853" s="66"/>
      <c r="I853" s="66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28"/>
      <c r="G854" s="28"/>
      <c r="H854" s="66"/>
      <c r="I854" s="66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28"/>
      <c r="G855" s="28"/>
      <c r="H855" s="66"/>
      <c r="I855" s="66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28"/>
      <c r="G856" s="28"/>
      <c r="H856" s="66"/>
      <c r="I856" s="66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28"/>
      <c r="G857" s="28"/>
      <c r="H857" s="66"/>
      <c r="I857" s="66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28"/>
      <c r="G858" s="28"/>
      <c r="H858" s="66"/>
      <c r="I858" s="66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28"/>
      <c r="G859" s="28"/>
      <c r="H859" s="66"/>
      <c r="I859" s="66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28"/>
      <c r="G860" s="28"/>
      <c r="H860" s="66"/>
      <c r="I860" s="66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28"/>
      <c r="G861" s="28"/>
      <c r="H861" s="66"/>
      <c r="I861" s="66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28"/>
      <c r="G862" s="28"/>
      <c r="H862" s="66"/>
      <c r="I862" s="66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28"/>
      <c r="G863" s="28"/>
      <c r="H863" s="66"/>
      <c r="I863" s="66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28"/>
      <c r="G864" s="28"/>
      <c r="H864" s="66"/>
      <c r="I864" s="66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28"/>
      <c r="G865" s="28"/>
      <c r="H865" s="66"/>
      <c r="I865" s="66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28"/>
      <c r="G866" s="28"/>
      <c r="H866" s="66"/>
      <c r="I866" s="66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28"/>
      <c r="G867" s="28"/>
      <c r="H867" s="66"/>
      <c r="I867" s="66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28"/>
      <c r="G868" s="28"/>
      <c r="H868" s="66"/>
      <c r="I868" s="66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28"/>
      <c r="G869" s="28"/>
      <c r="H869" s="66"/>
      <c r="I869" s="66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28"/>
      <c r="G870" s="28"/>
      <c r="H870" s="66"/>
      <c r="I870" s="66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28"/>
      <c r="G871" s="28"/>
      <c r="H871" s="66"/>
      <c r="I871" s="66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28"/>
      <c r="G872" s="28"/>
      <c r="H872" s="66"/>
      <c r="I872" s="66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28"/>
      <c r="G873" s="28"/>
      <c r="H873" s="66"/>
      <c r="I873" s="66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28"/>
      <c r="G874" s="28"/>
      <c r="H874" s="66"/>
      <c r="I874" s="66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28"/>
      <c r="G875" s="28"/>
      <c r="H875" s="66"/>
      <c r="I875" s="66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28"/>
      <c r="G876" s="28"/>
      <c r="H876" s="66"/>
      <c r="I876" s="66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28"/>
      <c r="G877" s="28"/>
      <c r="H877" s="66"/>
      <c r="I877" s="66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28"/>
      <c r="G878" s="28"/>
      <c r="H878" s="66"/>
      <c r="I878" s="66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28"/>
      <c r="G879" s="28"/>
      <c r="H879" s="66"/>
      <c r="I879" s="66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28"/>
      <c r="G880" s="28"/>
      <c r="H880" s="66"/>
      <c r="I880" s="66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28"/>
      <c r="G881" s="28"/>
      <c r="H881" s="66"/>
      <c r="I881" s="66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28"/>
      <c r="G882" s="28"/>
      <c r="H882" s="66"/>
      <c r="I882" s="66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28"/>
      <c r="G883" s="28"/>
      <c r="H883" s="66"/>
      <c r="I883" s="66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28"/>
      <c r="G884" s="28"/>
      <c r="H884" s="66"/>
      <c r="I884" s="66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28"/>
      <c r="G885" s="28"/>
      <c r="H885" s="66"/>
      <c r="I885" s="66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28"/>
      <c r="G886" s="28"/>
      <c r="H886" s="66"/>
      <c r="I886" s="66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28"/>
      <c r="G887" s="28"/>
      <c r="H887" s="66"/>
      <c r="I887" s="66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28"/>
      <c r="G888" s="28"/>
      <c r="H888" s="66"/>
      <c r="I888" s="66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28"/>
      <c r="G889" s="28"/>
      <c r="H889" s="66"/>
      <c r="I889" s="66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28"/>
      <c r="G890" s="28"/>
      <c r="H890" s="66"/>
      <c r="I890" s="66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28"/>
      <c r="G891" s="28"/>
      <c r="H891" s="66"/>
      <c r="I891" s="66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28"/>
      <c r="G892" s="28"/>
      <c r="H892" s="66"/>
      <c r="I892" s="66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28"/>
      <c r="G893" s="28"/>
      <c r="H893" s="66"/>
      <c r="I893" s="66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28"/>
      <c r="G894" s="28"/>
      <c r="H894" s="66"/>
      <c r="I894" s="66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28"/>
      <c r="G895" s="28"/>
      <c r="H895" s="66"/>
      <c r="I895" s="66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28"/>
      <c r="G896" s="28"/>
      <c r="H896" s="66"/>
      <c r="I896" s="66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28"/>
      <c r="G897" s="28"/>
      <c r="H897" s="66"/>
      <c r="I897" s="66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28"/>
      <c r="G898" s="28"/>
      <c r="H898" s="66"/>
      <c r="I898" s="66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28"/>
      <c r="G899" s="28"/>
      <c r="H899" s="66"/>
      <c r="I899" s="66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28"/>
      <c r="G900" s="28"/>
      <c r="H900" s="66"/>
      <c r="I900" s="66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28"/>
      <c r="G901" s="28"/>
      <c r="H901" s="66"/>
      <c r="I901" s="66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28"/>
      <c r="G902" s="28"/>
      <c r="H902" s="66"/>
      <c r="I902" s="66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28"/>
      <c r="G903" s="28"/>
      <c r="H903" s="66"/>
      <c r="I903" s="66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28"/>
      <c r="G904" s="28"/>
      <c r="H904" s="66"/>
      <c r="I904" s="66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28"/>
      <c r="G905" s="28"/>
      <c r="H905" s="66"/>
      <c r="I905" s="66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28"/>
      <c r="G906" s="28"/>
      <c r="H906" s="66"/>
      <c r="I906" s="66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28"/>
      <c r="G907" s="28"/>
      <c r="H907" s="66"/>
      <c r="I907" s="66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28"/>
      <c r="G908" s="28"/>
      <c r="H908" s="66"/>
      <c r="I908" s="66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28"/>
      <c r="G909" s="28"/>
      <c r="H909" s="66"/>
      <c r="I909" s="66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28"/>
      <c r="G910" s="28"/>
      <c r="H910" s="66"/>
      <c r="I910" s="66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28"/>
      <c r="G911" s="28"/>
      <c r="H911" s="66"/>
      <c r="I911" s="66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28"/>
      <c r="G912" s="28"/>
      <c r="H912" s="66"/>
      <c r="I912" s="66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28"/>
      <c r="G913" s="28"/>
      <c r="H913" s="66"/>
      <c r="I913" s="66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28"/>
      <c r="G914" s="28"/>
      <c r="H914" s="66"/>
      <c r="I914" s="66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28"/>
      <c r="G915" s="28"/>
      <c r="H915" s="66"/>
      <c r="I915" s="66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28"/>
      <c r="G916" s="28"/>
      <c r="H916" s="66"/>
      <c r="I916" s="66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28"/>
      <c r="G917" s="28"/>
      <c r="H917" s="66"/>
      <c r="I917" s="66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28"/>
      <c r="G918" s="28"/>
      <c r="H918" s="66"/>
      <c r="I918" s="66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28"/>
      <c r="G919" s="28"/>
      <c r="H919" s="66"/>
      <c r="I919" s="66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28"/>
      <c r="G920" s="28"/>
      <c r="H920" s="66"/>
      <c r="I920" s="66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28"/>
      <c r="G921" s="28"/>
      <c r="H921" s="66"/>
      <c r="I921" s="66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28"/>
      <c r="G922" s="28"/>
      <c r="H922" s="66"/>
      <c r="I922" s="66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28"/>
      <c r="G923" s="28"/>
      <c r="H923" s="66"/>
      <c r="I923" s="66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28"/>
      <c r="G924" s="28"/>
      <c r="H924" s="66"/>
      <c r="I924" s="66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28"/>
      <c r="G925" s="28"/>
      <c r="H925" s="66"/>
      <c r="I925" s="66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28"/>
      <c r="G926" s="28"/>
      <c r="H926" s="66"/>
      <c r="I926" s="66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28"/>
      <c r="G927" s="28"/>
      <c r="H927" s="66"/>
      <c r="I927" s="66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28"/>
      <c r="G928" s="28"/>
      <c r="H928" s="66"/>
      <c r="I928" s="66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28"/>
      <c r="G929" s="28"/>
      <c r="H929" s="66"/>
      <c r="I929" s="66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28"/>
      <c r="G930" s="28"/>
      <c r="H930" s="66"/>
      <c r="I930" s="66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28"/>
      <c r="G931" s="28"/>
      <c r="H931" s="66"/>
      <c r="I931" s="66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28"/>
      <c r="G932" s="28"/>
      <c r="H932" s="66"/>
      <c r="I932" s="66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28"/>
      <c r="G933" s="28"/>
      <c r="H933" s="66"/>
      <c r="I933" s="66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28"/>
      <c r="G934" s="28"/>
      <c r="H934" s="66"/>
      <c r="I934" s="66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28"/>
      <c r="G935" s="28"/>
      <c r="H935" s="66"/>
      <c r="I935" s="66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28"/>
      <c r="G936" s="28"/>
      <c r="H936" s="66"/>
      <c r="I936" s="66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28"/>
      <c r="G937" s="28"/>
      <c r="H937" s="66"/>
      <c r="I937" s="66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28"/>
      <c r="G938" s="28"/>
      <c r="H938" s="66"/>
      <c r="I938" s="66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28"/>
      <c r="G939" s="28"/>
      <c r="H939" s="66"/>
      <c r="I939" s="66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28"/>
      <c r="G940" s="28"/>
      <c r="H940" s="66"/>
      <c r="I940" s="66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28"/>
      <c r="G941" s="28"/>
      <c r="H941" s="66"/>
      <c r="I941" s="66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28"/>
      <c r="G942" s="28"/>
      <c r="H942" s="66"/>
      <c r="I942" s="66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28"/>
      <c r="G943" s="28"/>
      <c r="H943" s="66"/>
      <c r="I943" s="66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28"/>
      <c r="G944" s="28"/>
      <c r="H944" s="66"/>
      <c r="I944" s="66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28"/>
      <c r="G945" s="28"/>
      <c r="H945" s="66"/>
      <c r="I945" s="66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28"/>
      <c r="G946" s="28"/>
      <c r="H946" s="66"/>
      <c r="I946" s="66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28"/>
      <c r="G947" s="28"/>
      <c r="H947" s="66"/>
      <c r="I947" s="66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28"/>
      <c r="G948" s="28"/>
      <c r="H948" s="66"/>
      <c r="I948" s="66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28"/>
      <c r="G949" s="28"/>
      <c r="H949" s="66"/>
      <c r="I949" s="66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28"/>
      <c r="G950" s="28"/>
      <c r="H950" s="66"/>
      <c r="I950" s="66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28"/>
      <c r="G951" s="28"/>
      <c r="H951" s="66"/>
      <c r="I951" s="66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28"/>
      <c r="G952" s="28"/>
      <c r="H952" s="66"/>
      <c r="I952" s="66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28"/>
      <c r="G953" s="28"/>
      <c r="H953" s="66"/>
      <c r="I953" s="66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28"/>
      <c r="G954" s="28"/>
      <c r="H954" s="66"/>
      <c r="I954" s="66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28"/>
      <c r="G955" s="28"/>
      <c r="H955" s="66"/>
      <c r="I955" s="66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28"/>
      <c r="G956" s="28"/>
      <c r="H956" s="66"/>
      <c r="I956" s="66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28"/>
      <c r="G957" s="28"/>
      <c r="H957" s="66"/>
      <c r="I957" s="66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28"/>
      <c r="G958" s="28"/>
      <c r="H958" s="66"/>
      <c r="I958" s="66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28"/>
      <c r="G959" s="28"/>
      <c r="H959" s="66"/>
      <c r="I959" s="66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28"/>
      <c r="G960" s="28"/>
      <c r="H960" s="66"/>
      <c r="I960" s="66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28"/>
      <c r="G961" s="28"/>
      <c r="H961" s="66"/>
      <c r="I961" s="66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28"/>
      <c r="G962" s="28"/>
      <c r="H962" s="66"/>
      <c r="I962" s="66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28"/>
      <c r="G963" s="28"/>
      <c r="H963" s="66"/>
      <c r="I963" s="66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28"/>
      <c r="G964" s="28"/>
      <c r="H964" s="66"/>
      <c r="I964" s="66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28"/>
      <c r="G965" s="28"/>
      <c r="H965" s="66"/>
      <c r="I965" s="66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28"/>
      <c r="G966" s="28"/>
      <c r="H966" s="66"/>
      <c r="I966" s="66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28"/>
      <c r="G967" s="28"/>
      <c r="H967" s="66"/>
      <c r="I967" s="66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28"/>
      <c r="G968" s="28"/>
      <c r="H968" s="66"/>
      <c r="I968" s="66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28"/>
      <c r="G969" s="28"/>
      <c r="H969" s="66"/>
      <c r="I969" s="66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28"/>
      <c r="G970" s="28"/>
      <c r="H970" s="66"/>
      <c r="I970" s="66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28"/>
      <c r="G971" s="28"/>
      <c r="H971" s="66"/>
      <c r="I971" s="66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28"/>
      <c r="G972" s="28"/>
      <c r="H972" s="66"/>
      <c r="I972" s="66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28"/>
      <c r="G973" s="28"/>
      <c r="H973" s="66"/>
      <c r="I973" s="66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28"/>
      <c r="G974" s="28"/>
      <c r="H974" s="66"/>
      <c r="I974" s="66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28"/>
      <c r="G975" s="28"/>
      <c r="H975" s="66"/>
      <c r="I975" s="66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28"/>
      <c r="G976" s="28"/>
      <c r="H976" s="66"/>
      <c r="I976" s="66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28"/>
      <c r="G977" s="28"/>
      <c r="H977" s="66"/>
      <c r="I977" s="66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28"/>
      <c r="G978" s="28"/>
      <c r="H978" s="66"/>
      <c r="I978" s="66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28"/>
      <c r="G979" s="28"/>
      <c r="H979" s="66"/>
      <c r="I979" s="66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28"/>
      <c r="G980" s="28"/>
      <c r="H980" s="66"/>
      <c r="I980" s="66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28"/>
      <c r="G981" s="28"/>
      <c r="H981" s="66"/>
      <c r="I981" s="66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28"/>
      <c r="G982" s="28"/>
      <c r="H982" s="66"/>
      <c r="I982" s="66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28"/>
      <c r="G983" s="28"/>
      <c r="H983" s="66"/>
      <c r="I983" s="66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28"/>
      <c r="G984" s="28"/>
      <c r="H984" s="66"/>
      <c r="I984" s="66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28"/>
      <c r="G985" s="28"/>
      <c r="H985" s="66"/>
      <c r="I985" s="66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28"/>
      <c r="G986" s="28"/>
      <c r="H986" s="66"/>
      <c r="I986" s="66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28"/>
      <c r="G987" s="28"/>
      <c r="H987" s="66"/>
      <c r="I987" s="66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28"/>
      <c r="G988" s="28"/>
      <c r="H988" s="66"/>
      <c r="I988" s="66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28"/>
      <c r="G989" s="28"/>
      <c r="H989" s="66"/>
      <c r="I989" s="66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28"/>
      <c r="G990" s="28"/>
      <c r="H990" s="66"/>
      <c r="I990" s="66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28"/>
      <c r="G991" s="28"/>
      <c r="H991" s="66"/>
      <c r="I991" s="66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28"/>
      <c r="G992" s="28"/>
      <c r="H992" s="66"/>
      <c r="I992" s="66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28"/>
      <c r="G993" s="28"/>
      <c r="H993" s="66"/>
      <c r="I993" s="66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28"/>
      <c r="G994" s="28"/>
      <c r="H994" s="66"/>
      <c r="I994" s="66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28"/>
      <c r="G995" s="28"/>
      <c r="H995" s="66"/>
      <c r="I995" s="66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28"/>
      <c r="G996" s="28"/>
      <c r="H996" s="66"/>
      <c r="I996" s="66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28"/>
      <c r="G997" s="28"/>
      <c r="H997" s="66"/>
      <c r="I997" s="66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28"/>
      <c r="G998" s="28"/>
      <c r="H998" s="66"/>
      <c r="I998" s="66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28"/>
      <c r="G999" s="28"/>
      <c r="H999" s="66"/>
      <c r="I999" s="66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>
      <c r="A1000" s="28"/>
      <c r="B1000" s="28"/>
      <c r="C1000" s="28"/>
      <c r="D1000" s="28"/>
      <c r="E1000" s="28"/>
      <c r="F1000" s="28"/>
      <c r="G1000" s="28"/>
      <c r="H1000" s="66"/>
      <c r="I1000" s="66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>
      <c r="A1001" s="28"/>
      <c r="B1001" s="28"/>
      <c r="C1001" s="28"/>
      <c r="D1001" s="28"/>
      <c r="E1001" s="28"/>
      <c r="F1001" s="28"/>
      <c r="G1001" s="28"/>
      <c r="H1001" s="66"/>
      <c r="I1001" s="66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</sheetData>
  <autoFilter ref="$A$4:$AC$19">
    <sortState ref="A4:AC19">
      <sortCondition ref="B4:B19"/>
    </sortState>
  </autoFilter>
  <mergeCells count="12">
    <mergeCell ref="G2:G3"/>
    <mergeCell ref="H2:I2"/>
    <mergeCell ref="J2:K2"/>
    <mergeCell ref="L2:M2"/>
    <mergeCell ref="A1:AC1"/>
    <mergeCell ref="A2:A3"/>
    <mergeCell ref="B2:B3"/>
    <mergeCell ref="C2:C3"/>
    <mergeCell ref="D2:D3"/>
    <mergeCell ref="E2:E3"/>
    <mergeCell ref="F2:F3"/>
    <mergeCell ref="N2:O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4" width="7.88"/>
    <col customWidth="1" min="5" max="5" width="9.88"/>
    <col customWidth="1" min="6" max="6" width="6.13"/>
    <col customWidth="1" min="7" max="7" width="9.13"/>
  </cols>
  <sheetData>
    <row r="1" ht="31.5" customHeight="1">
      <c r="A1" s="74" t="s">
        <v>285</v>
      </c>
      <c r="B1" s="6"/>
      <c r="C1" s="6"/>
      <c r="D1" s="6"/>
      <c r="E1" s="6"/>
      <c r="F1" s="6"/>
      <c r="G1" s="6"/>
      <c r="H1" s="6"/>
      <c r="I1" s="6"/>
      <c r="J1" s="6"/>
      <c r="K1" s="12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</row>
    <row r="2">
      <c r="A2" s="14" t="s">
        <v>0</v>
      </c>
      <c r="B2" s="14" t="s">
        <v>2</v>
      </c>
      <c r="C2" s="14" t="s">
        <v>3</v>
      </c>
      <c r="D2" s="17" t="s">
        <v>4</v>
      </c>
      <c r="E2" s="17" t="s">
        <v>5</v>
      </c>
      <c r="F2" s="20" t="s">
        <v>14</v>
      </c>
      <c r="G2" s="17" t="s">
        <v>7</v>
      </c>
      <c r="H2" s="24" t="s">
        <v>13</v>
      </c>
      <c r="I2" s="12"/>
      <c r="J2" s="26" t="s">
        <v>19</v>
      </c>
      <c r="K2" s="12"/>
      <c r="L2" s="26" t="s">
        <v>286</v>
      </c>
      <c r="M2" s="12"/>
      <c r="N2" s="26" t="s">
        <v>287</v>
      </c>
      <c r="O2" s="1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0"/>
      <c r="B3" s="30"/>
      <c r="C3" s="30"/>
      <c r="D3" s="30"/>
      <c r="E3" s="30"/>
      <c r="F3" s="30"/>
      <c r="G3" s="30"/>
      <c r="H3" s="31" t="s">
        <v>31</v>
      </c>
      <c r="I3" s="31" t="s">
        <v>32</v>
      </c>
      <c r="J3" s="33" t="s">
        <v>9</v>
      </c>
      <c r="K3" s="33" t="s">
        <v>32</v>
      </c>
      <c r="L3" s="33" t="s">
        <v>9</v>
      </c>
      <c r="M3" s="33" t="s">
        <v>32</v>
      </c>
      <c r="N3" s="34" t="s">
        <v>11</v>
      </c>
      <c r="O3" s="33" t="s">
        <v>32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>
      <c r="A4" s="36"/>
      <c r="B4" s="37"/>
      <c r="C4" s="38"/>
      <c r="D4" s="39"/>
      <c r="E4" s="39"/>
      <c r="F4" s="39"/>
      <c r="G4" s="40"/>
      <c r="H4" s="41"/>
      <c r="I4" s="41"/>
      <c r="J4" s="39"/>
      <c r="K4" s="39"/>
      <c r="L4" s="39"/>
      <c r="M4" s="3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37">
        <v>1.0</v>
      </c>
      <c r="B5" s="37" t="s">
        <v>141</v>
      </c>
      <c r="C5" s="38" t="s">
        <v>142</v>
      </c>
      <c r="D5" s="39"/>
      <c r="E5" s="39"/>
      <c r="F5" s="39"/>
      <c r="G5" s="40">
        <v>17825.0</v>
      </c>
      <c r="H5" s="41">
        <v>200.0</v>
      </c>
      <c r="I5" s="41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37">
        <v>2.0</v>
      </c>
      <c r="B6" s="37" t="s">
        <v>147</v>
      </c>
      <c r="C6" s="38" t="s">
        <v>148</v>
      </c>
      <c r="D6" s="39"/>
      <c r="E6" s="39"/>
      <c r="F6" s="39"/>
      <c r="G6" s="40">
        <v>17825.0</v>
      </c>
      <c r="H6" s="41">
        <v>200.0</v>
      </c>
      <c r="I6" s="41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37">
        <v>3.0</v>
      </c>
      <c r="B7" s="37" t="s">
        <v>218</v>
      </c>
      <c r="C7" s="38" t="s">
        <v>219</v>
      </c>
      <c r="D7" s="39"/>
      <c r="E7" s="39"/>
      <c r="F7" s="39"/>
      <c r="G7" s="40">
        <v>17825.0</v>
      </c>
      <c r="H7" s="41">
        <v>200.0</v>
      </c>
      <c r="I7" s="41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37">
        <v>4.0</v>
      </c>
      <c r="B8" s="37" t="s">
        <v>222</v>
      </c>
      <c r="C8" s="38" t="s">
        <v>223</v>
      </c>
      <c r="D8" s="39"/>
      <c r="E8" s="39"/>
      <c r="F8" s="39"/>
      <c r="G8" s="40">
        <v>17825.0</v>
      </c>
      <c r="H8" s="41">
        <v>200.0</v>
      </c>
      <c r="I8" s="41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37">
        <v>5.0</v>
      </c>
      <c r="B9" s="37" t="s">
        <v>224</v>
      </c>
      <c r="C9" s="38" t="s">
        <v>225</v>
      </c>
      <c r="D9" s="39"/>
      <c r="E9" s="39"/>
      <c r="F9" s="39"/>
      <c r="G9" s="40">
        <v>17825.0</v>
      </c>
      <c r="H9" s="41">
        <v>200.0</v>
      </c>
      <c r="I9" s="41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37">
        <v>6.0</v>
      </c>
      <c r="B10" s="37" t="s">
        <v>228</v>
      </c>
      <c r="C10" s="38" t="s">
        <v>229</v>
      </c>
      <c r="D10" s="38" t="s">
        <v>230</v>
      </c>
      <c r="E10" s="39"/>
      <c r="F10" s="39"/>
      <c r="G10" s="40">
        <v>17825.0</v>
      </c>
      <c r="H10" s="41">
        <v>200.0</v>
      </c>
      <c r="I10" s="41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37"/>
      <c r="B11" s="37"/>
      <c r="C11" s="38"/>
      <c r="D11" s="39"/>
      <c r="E11" s="39"/>
      <c r="F11" s="39"/>
      <c r="G11" s="40"/>
      <c r="H11" s="41"/>
      <c r="I11" s="77"/>
      <c r="J11" s="39"/>
      <c r="K11" s="39"/>
      <c r="L11" s="71"/>
      <c r="M11" s="71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37"/>
      <c r="B12" s="37"/>
      <c r="C12" s="38"/>
      <c r="D12" s="39"/>
      <c r="E12" s="39"/>
      <c r="F12" s="39"/>
      <c r="G12" s="40"/>
      <c r="H12" s="41"/>
      <c r="I12" s="77"/>
      <c r="J12" s="39"/>
      <c r="K12" s="39"/>
      <c r="L12" s="71"/>
      <c r="M12" s="71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37"/>
      <c r="B13" s="37"/>
      <c r="C13" s="38"/>
      <c r="D13" s="39"/>
      <c r="E13" s="39"/>
      <c r="F13" s="39"/>
      <c r="G13" s="40"/>
      <c r="H13" s="41"/>
      <c r="I13" s="48"/>
      <c r="J13" s="39"/>
      <c r="K13" s="39"/>
      <c r="L13" s="47"/>
      <c r="M13" s="38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37"/>
      <c r="B14" s="37"/>
      <c r="C14" s="38"/>
      <c r="D14" s="39"/>
      <c r="E14" s="39"/>
      <c r="F14" s="39"/>
      <c r="G14" s="40"/>
      <c r="H14" s="57"/>
      <c r="I14" s="41"/>
      <c r="J14" s="39"/>
      <c r="K14" s="39"/>
      <c r="L14" s="59"/>
      <c r="M14" s="38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51"/>
      <c r="B15" s="37"/>
      <c r="C15" s="38"/>
      <c r="D15" s="39"/>
      <c r="E15" s="39"/>
      <c r="F15" s="39"/>
      <c r="G15" s="40"/>
      <c r="H15" s="48"/>
      <c r="I15" s="41"/>
      <c r="J15" s="47"/>
      <c r="K15" s="38"/>
      <c r="L15" s="47"/>
      <c r="M15" s="3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37"/>
      <c r="B16" s="37"/>
      <c r="C16" s="38"/>
      <c r="D16" s="38"/>
      <c r="E16" s="39"/>
      <c r="F16" s="39"/>
      <c r="G16" s="40"/>
      <c r="H16" s="41"/>
      <c r="I16" s="41"/>
      <c r="J16" s="39"/>
      <c r="K16" s="39"/>
      <c r="L16" s="39"/>
      <c r="M16" s="39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>
      <c r="A17" s="37"/>
      <c r="B17" s="37"/>
      <c r="C17" s="38"/>
      <c r="D17" s="39"/>
      <c r="E17" s="39"/>
      <c r="F17" s="39"/>
      <c r="G17" s="40"/>
      <c r="H17" s="48"/>
      <c r="I17" s="41"/>
      <c r="J17" s="47"/>
      <c r="K17" s="38"/>
      <c r="L17" s="47"/>
      <c r="M17" s="3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>
      <c r="A18" s="51"/>
      <c r="B18" s="37"/>
      <c r="C18" s="38"/>
      <c r="D18" s="39"/>
      <c r="E18" s="39"/>
      <c r="F18" s="39"/>
      <c r="G18" s="40"/>
      <c r="H18" s="48"/>
      <c r="I18" s="41"/>
      <c r="J18" s="47"/>
      <c r="K18" s="38"/>
      <c r="L18" s="47"/>
      <c r="M18" s="3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>
      <c r="A19" s="37"/>
      <c r="B19" s="37"/>
      <c r="C19" s="38"/>
      <c r="D19" s="39"/>
      <c r="E19" s="39"/>
      <c r="F19" s="39"/>
      <c r="G19" s="40"/>
      <c r="H19" s="48"/>
      <c r="I19" s="41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>
      <c r="A20" s="51"/>
      <c r="B20" s="37"/>
      <c r="C20" s="38"/>
      <c r="D20" s="38"/>
      <c r="E20" s="39"/>
      <c r="F20" s="39"/>
      <c r="G20" s="40"/>
      <c r="H20" s="41"/>
      <c r="I20" s="41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37"/>
      <c r="B21" s="37"/>
      <c r="C21" s="38"/>
      <c r="D21" s="39"/>
      <c r="E21" s="39"/>
      <c r="F21" s="39"/>
      <c r="G21" s="40"/>
      <c r="H21" s="48"/>
      <c r="I21" s="41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51"/>
      <c r="B22" s="37"/>
      <c r="C22" s="38"/>
      <c r="D22" s="39"/>
      <c r="E22" s="39"/>
      <c r="F22" s="39"/>
      <c r="G22" s="40"/>
      <c r="H22" s="48"/>
      <c r="I22" s="41"/>
      <c r="J22" s="47"/>
      <c r="K22" s="38"/>
      <c r="L22" s="47"/>
      <c r="M22" s="3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7"/>
      <c r="B23" s="37"/>
      <c r="C23" s="38"/>
      <c r="D23" s="39"/>
      <c r="E23" s="39"/>
      <c r="F23" s="39"/>
      <c r="G23" s="40"/>
      <c r="H23" s="48"/>
      <c r="I23" s="41"/>
      <c r="J23" s="47"/>
      <c r="K23" s="38"/>
      <c r="L23" s="47"/>
      <c r="M23" s="3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37"/>
      <c r="B24" s="37"/>
      <c r="C24" s="38"/>
      <c r="D24" s="38"/>
      <c r="E24" s="39"/>
      <c r="F24" s="39"/>
      <c r="G24" s="40"/>
      <c r="H24" s="41"/>
      <c r="I24" s="41"/>
      <c r="J24" s="39"/>
      <c r="K24" s="39"/>
      <c r="L24" s="39"/>
      <c r="M24" s="3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37"/>
      <c r="B25" s="37"/>
      <c r="C25" s="38"/>
      <c r="D25" s="39"/>
      <c r="E25" s="39"/>
      <c r="F25" s="39"/>
      <c r="G25" s="40"/>
      <c r="H25" s="41"/>
      <c r="I25" s="41"/>
      <c r="J25" s="39"/>
      <c r="K25" s="39"/>
      <c r="L25" s="39"/>
      <c r="M25" s="3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51"/>
      <c r="B26" s="37"/>
      <c r="C26" s="38"/>
      <c r="D26" s="38"/>
      <c r="E26" s="39"/>
      <c r="F26" s="39"/>
      <c r="G26" s="40"/>
      <c r="H26" s="41"/>
      <c r="I26" s="41"/>
      <c r="J26" s="39"/>
      <c r="K26" s="39"/>
      <c r="L26" s="39"/>
      <c r="M26" s="39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37"/>
      <c r="B27" s="37"/>
      <c r="C27" s="38"/>
      <c r="D27" s="39"/>
      <c r="E27" s="39"/>
      <c r="F27" s="39"/>
      <c r="G27" s="40"/>
      <c r="H27" s="41"/>
      <c r="I27" s="41"/>
      <c r="J27" s="47"/>
      <c r="K27" s="38"/>
      <c r="L27" s="47"/>
      <c r="M27" s="3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51"/>
      <c r="B28" s="37"/>
      <c r="C28" s="38"/>
      <c r="D28" s="38"/>
      <c r="E28" s="39"/>
      <c r="F28" s="39"/>
      <c r="G28" s="40"/>
      <c r="H28" s="41"/>
      <c r="I28" s="41"/>
      <c r="J28" s="39"/>
      <c r="K28" s="39"/>
      <c r="L28" s="39"/>
      <c r="M28" s="3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>
      <c r="A29" s="37"/>
      <c r="B29" s="37"/>
      <c r="C29" s="38"/>
      <c r="D29" s="39"/>
      <c r="E29" s="39"/>
      <c r="F29" s="39"/>
      <c r="G29" s="40"/>
      <c r="H29" s="48"/>
      <c r="I29" s="41"/>
      <c r="J29" s="47"/>
      <c r="K29" s="38"/>
      <c r="L29" s="47"/>
      <c r="M29" s="3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37"/>
      <c r="B30" s="60"/>
      <c r="C30" s="38"/>
      <c r="D30" s="40"/>
      <c r="E30" s="39"/>
      <c r="F30" s="39"/>
      <c r="G30" s="40"/>
      <c r="H30" s="48"/>
      <c r="I30" s="41"/>
      <c r="J30" s="39"/>
      <c r="K30" s="39"/>
      <c r="L30" s="39"/>
      <c r="M30" s="39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51"/>
      <c r="B31" s="37"/>
      <c r="C31" s="38"/>
      <c r="D31" s="39"/>
      <c r="E31" s="39"/>
      <c r="F31" s="39"/>
      <c r="G31" s="40"/>
      <c r="H31" s="41"/>
      <c r="I31" s="41"/>
      <c r="J31" s="39"/>
      <c r="K31" s="39"/>
      <c r="L31" s="39"/>
      <c r="M31" s="3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37"/>
      <c r="B32" s="37"/>
      <c r="C32" s="38"/>
      <c r="D32" s="39"/>
      <c r="E32" s="39"/>
      <c r="F32" s="39"/>
      <c r="G32" s="40"/>
      <c r="H32" s="41"/>
      <c r="I32" s="41"/>
      <c r="J32" s="39"/>
      <c r="K32" s="39"/>
      <c r="L32" s="39"/>
      <c r="M32" s="3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51"/>
      <c r="B33" s="37"/>
      <c r="C33" s="38"/>
      <c r="D33" s="39"/>
      <c r="E33" s="39"/>
      <c r="F33" s="39"/>
      <c r="G33" s="40"/>
      <c r="H33" s="41"/>
      <c r="I33" s="41"/>
      <c r="J33" s="39"/>
      <c r="K33" s="39"/>
      <c r="L33" s="39"/>
      <c r="M33" s="3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37"/>
      <c r="B34" s="37"/>
      <c r="C34" s="38"/>
      <c r="D34" s="39"/>
      <c r="E34" s="39"/>
      <c r="F34" s="39"/>
      <c r="G34" s="40"/>
      <c r="H34" s="48"/>
      <c r="I34" s="41"/>
      <c r="J34" s="47"/>
      <c r="K34" s="38"/>
      <c r="L34" s="47"/>
      <c r="M34" s="3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51"/>
      <c r="B35" s="36"/>
      <c r="C35" s="38"/>
      <c r="D35" s="38"/>
      <c r="E35" s="38"/>
      <c r="F35" s="47"/>
      <c r="G35" s="40"/>
      <c r="H35" s="41"/>
      <c r="I35" s="41"/>
      <c r="J35" s="47"/>
      <c r="K35" s="38"/>
      <c r="L35" s="47"/>
      <c r="M35" s="3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37"/>
      <c r="B36" s="37"/>
      <c r="C36" s="38"/>
      <c r="D36" s="39"/>
      <c r="E36" s="39"/>
      <c r="F36" s="39"/>
      <c r="G36" s="40"/>
      <c r="H36" s="48"/>
      <c r="I36" s="41"/>
      <c r="J36" s="47"/>
      <c r="K36" s="38"/>
      <c r="L36" s="47"/>
      <c r="M36" s="3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37"/>
      <c r="B37" s="37"/>
      <c r="C37" s="38"/>
      <c r="D37" s="39"/>
      <c r="E37" s="39"/>
      <c r="F37" s="39"/>
      <c r="G37" s="40"/>
      <c r="H37" s="48"/>
      <c r="I37" s="41"/>
      <c r="J37" s="47"/>
      <c r="K37" s="38"/>
      <c r="L37" s="47"/>
      <c r="M37" s="3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51"/>
      <c r="B38" s="37"/>
      <c r="C38" s="38"/>
      <c r="D38" s="39"/>
      <c r="E38" s="39"/>
      <c r="F38" s="39"/>
      <c r="G38" s="40"/>
      <c r="H38" s="48"/>
      <c r="I38" s="41"/>
      <c r="J38" s="47"/>
      <c r="K38" s="38"/>
      <c r="L38" s="47"/>
      <c r="M38" s="3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37"/>
      <c r="B39" s="37"/>
      <c r="C39" s="38"/>
      <c r="D39" s="39"/>
      <c r="E39" s="39"/>
      <c r="F39" s="39"/>
      <c r="G39" s="40"/>
      <c r="H39" s="48"/>
      <c r="I39" s="41"/>
      <c r="J39" s="47"/>
      <c r="K39" s="38"/>
      <c r="L39" s="47"/>
      <c r="M39" s="3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51"/>
      <c r="B40" s="37"/>
      <c r="C40" s="38"/>
      <c r="D40" s="39"/>
      <c r="E40" s="39"/>
      <c r="F40" s="39"/>
      <c r="G40" s="40"/>
      <c r="H40" s="41"/>
      <c r="I40" s="41"/>
      <c r="J40" s="39"/>
      <c r="K40" s="39"/>
      <c r="L40" s="39"/>
      <c r="M40" s="39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37"/>
      <c r="B41" s="37"/>
      <c r="C41" s="38"/>
      <c r="D41" s="39"/>
      <c r="E41" s="39"/>
      <c r="F41" s="39"/>
      <c r="G41" s="40"/>
      <c r="H41" s="48"/>
      <c r="I41" s="41"/>
      <c r="J41" s="47"/>
      <c r="K41" s="38"/>
      <c r="L41" s="47"/>
      <c r="M41" s="3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51"/>
      <c r="B42" s="36"/>
      <c r="C42" s="38"/>
      <c r="D42" s="38"/>
      <c r="E42" s="38"/>
      <c r="F42" s="47"/>
      <c r="G42" s="40"/>
      <c r="H42" s="41"/>
      <c r="I42" s="41"/>
      <c r="J42" s="39"/>
      <c r="K42" s="39"/>
      <c r="L42" s="39"/>
      <c r="M42" s="3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37"/>
      <c r="B43" s="37"/>
      <c r="C43" s="38"/>
      <c r="D43" s="39"/>
      <c r="E43" s="39"/>
      <c r="F43" s="39"/>
      <c r="G43" s="40"/>
      <c r="H43" s="41"/>
      <c r="I43" s="41"/>
      <c r="J43" s="39"/>
      <c r="K43" s="39"/>
      <c r="L43" s="39"/>
      <c r="M43" s="3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51"/>
      <c r="B44" s="37"/>
      <c r="C44" s="38"/>
      <c r="D44" s="39"/>
      <c r="E44" s="39"/>
      <c r="F44" s="39"/>
      <c r="G44" s="40"/>
      <c r="H44" s="41"/>
      <c r="I44" s="41"/>
      <c r="J44" s="47"/>
      <c r="K44" s="38"/>
      <c r="L44" s="39"/>
      <c r="M44" s="3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37"/>
      <c r="B45" s="36"/>
      <c r="C45" s="38"/>
      <c r="D45" s="38"/>
      <c r="E45" s="38"/>
      <c r="F45" s="39"/>
      <c r="G45" s="64"/>
      <c r="H45" s="41"/>
      <c r="I45" s="41"/>
      <c r="J45" s="39"/>
      <c r="K45" s="39"/>
      <c r="L45" s="39"/>
      <c r="M45" s="3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51"/>
      <c r="B46" s="37"/>
      <c r="C46" s="38"/>
      <c r="D46" s="38"/>
      <c r="E46" s="39"/>
      <c r="F46" s="39"/>
      <c r="G46" s="40"/>
      <c r="H46" s="41"/>
      <c r="I46" s="41"/>
      <c r="J46" s="39"/>
      <c r="K46" s="39"/>
      <c r="L46" s="39"/>
      <c r="M46" s="3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37"/>
      <c r="B47" s="37"/>
      <c r="C47" s="38"/>
      <c r="D47" s="39"/>
      <c r="E47" s="39"/>
      <c r="F47" s="39"/>
      <c r="G47" s="40"/>
      <c r="H47" s="41"/>
      <c r="I47" s="41"/>
      <c r="J47" s="39"/>
      <c r="K47" s="39"/>
      <c r="L47" s="39"/>
      <c r="M47" s="39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37"/>
      <c r="B48" s="37"/>
      <c r="C48" s="38"/>
      <c r="D48" s="39"/>
      <c r="E48" s="39"/>
      <c r="F48" s="39"/>
      <c r="G48" s="40"/>
      <c r="H48" s="48"/>
      <c r="I48" s="41"/>
      <c r="J48" s="47"/>
      <c r="K48" s="38"/>
      <c r="L48" s="47"/>
      <c r="M48" s="3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51"/>
      <c r="B49" s="37"/>
      <c r="C49" s="38"/>
      <c r="D49" s="39"/>
      <c r="E49" s="39"/>
      <c r="F49" s="39"/>
      <c r="G49" s="40"/>
      <c r="H49" s="41"/>
      <c r="I49" s="41"/>
      <c r="J49" s="47"/>
      <c r="K49" s="38"/>
      <c r="L49" s="39"/>
      <c r="M49" s="3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37"/>
      <c r="B50" s="37"/>
      <c r="C50" s="38"/>
      <c r="D50" s="39"/>
      <c r="E50" s="39"/>
      <c r="F50" s="39"/>
      <c r="G50" s="40"/>
      <c r="H50" s="41"/>
      <c r="I50" s="41"/>
      <c r="J50" s="47"/>
      <c r="K50" s="38"/>
      <c r="L50" s="39"/>
      <c r="M50" s="3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51"/>
      <c r="B51" s="38"/>
      <c r="C51" s="38"/>
      <c r="D51" s="39"/>
      <c r="E51" s="39"/>
      <c r="F51" s="39"/>
      <c r="G51" s="40"/>
      <c r="H51" s="41"/>
      <c r="I51" s="41"/>
      <c r="J51" s="39"/>
      <c r="K51" s="39"/>
      <c r="L51" s="39"/>
      <c r="M51" s="39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37"/>
      <c r="B52" s="36"/>
      <c r="C52" s="38"/>
      <c r="D52" s="38"/>
      <c r="E52" s="39"/>
      <c r="F52" s="39"/>
      <c r="G52" s="40"/>
      <c r="H52" s="41"/>
      <c r="I52" s="41"/>
      <c r="J52" s="47"/>
      <c r="K52" s="38"/>
      <c r="L52" s="39"/>
      <c r="M52" s="39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>
      <c r="A53" s="51"/>
      <c r="B53" s="37"/>
      <c r="C53" s="38"/>
      <c r="D53" s="38"/>
      <c r="E53" s="39"/>
      <c r="F53" s="39"/>
      <c r="G53" s="40"/>
      <c r="H53" s="41"/>
      <c r="I53" s="41"/>
      <c r="J53" s="47"/>
      <c r="K53" s="38"/>
      <c r="L53" s="39"/>
      <c r="M53" s="3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37"/>
      <c r="B54" s="37"/>
      <c r="C54" s="37"/>
      <c r="D54" s="28"/>
      <c r="E54" s="28"/>
      <c r="F54" s="28"/>
      <c r="G54" s="40"/>
      <c r="H54" s="66"/>
      <c r="I54" s="66"/>
      <c r="J54" s="47"/>
      <c r="K54" s="3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37"/>
      <c r="B55" s="37"/>
      <c r="C55" s="37"/>
      <c r="D55" s="28"/>
      <c r="E55" s="28"/>
      <c r="F55" s="28"/>
      <c r="G55" s="40"/>
      <c r="H55" s="66"/>
      <c r="I55" s="66"/>
      <c r="J55" s="47"/>
      <c r="K55" s="3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28"/>
      <c r="B56" s="28"/>
      <c r="C56" s="28"/>
      <c r="D56" s="28"/>
      <c r="E56" s="28"/>
      <c r="F56" s="28"/>
      <c r="G56" s="28"/>
      <c r="H56" s="66"/>
      <c r="I56" s="66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28"/>
      <c r="B57" s="28"/>
      <c r="C57" s="28"/>
      <c r="D57" s="28"/>
      <c r="E57" s="28"/>
      <c r="F57" s="28"/>
      <c r="G57" s="28"/>
      <c r="H57" s="66"/>
      <c r="I57" s="66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28"/>
      <c r="B58" s="28"/>
      <c r="C58" s="28"/>
      <c r="D58" s="28"/>
      <c r="E58" s="28"/>
      <c r="F58" s="28"/>
      <c r="G58" s="28"/>
      <c r="H58" s="66"/>
      <c r="I58" s="66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28"/>
      <c r="B59" s="28"/>
      <c r="C59" s="28"/>
      <c r="D59" s="28"/>
      <c r="E59" s="28"/>
      <c r="F59" s="28"/>
      <c r="G59" s="28"/>
      <c r="H59" s="66"/>
      <c r="I59" s="66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28"/>
      <c r="B60" s="28"/>
      <c r="C60" s="28"/>
      <c r="D60" s="28"/>
      <c r="E60" s="28"/>
      <c r="F60" s="28"/>
      <c r="G60" s="28"/>
      <c r="H60" s="66"/>
      <c r="I60" s="66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28"/>
      <c r="B61" s="28"/>
      <c r="C61" s="28"/>
      <c r="D61" s="28"/>
      <c r="E61" s="28"/>
      <c r="F61" s="28"/>
      <c r="G61" s="28"/>
      <c r="H61" s="66"/>
      <c r="I61" s="66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28"/>
      <c r="B62" s="28"/>
      <c r="C62" s="28"/>
      <c r="D62" s="28"/>
      <c r="E62" s="28"/>
      <c r="F62" s="28"/>
      <c r="G62" s="28"/>
      <c r="H62" s="66"/>
      <c r="I62" s="66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28"/>
      <c r="B63" s="28"/>
      <c r="C63" s="28"/>
      <c r="D63" s="28"/>
      <c r="E63" s="28"/>
      <c r="F63" s="28"/>
      <c r="G63" s="28"/>
      <c r="H63" s="66"/>
      <c r="I63" s="66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28"/>
      <c r="B64" s="28"/>
      <c r="C64" s="28"/>
      <c r="D64" s="28"/>
      <c r="E64" s="28"/>
      <c r="F64" s="28"/>
      <c r="G64" s="28"/>
      <c r="H64" s="66"/>
      <c r="I64" s="66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28"/>
      <c r="B65" s="28"/>
      <c r="C65" s="28"/>
      <c r="D65" s="28"/>
      <c r="E65" s="28"/>
      <c r="F65" s="28"/>
      <c r="G65" s="28"/>
      <c r="H65" s="66"/>
      <c r="I65" s="66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28"/>
      <c r="B66" s="28"/>
      <c r="C66" s="28"/>
      <c r="D66" s="28"/>
      <c r="E66" s="28"/>
      <c r="F66" s="28"/>
      <c r="G66" s="28"/>
      <c r="H66" s="66"/>
      <c r="I66" s="66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28"/>
      <c r="B67" s="28"/>
      <c r="C67" s="28"/>
      <c r="D67" s="28"/>
      <c r="E67" s="28"/>
      <c r="F67" s="28"/>
      <c r="G67" s="28"/>
      <c r="H67" s="66"/>
      <c r="I67" s="66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28"/>
      <c r="B68" s="28"/>
      <c r="C68" s="28"/>
      <c r="D68" s="28"/>
      <c r="E68" s="28"/>
      <c r="F68" s="28"/>
      <c r="G68" s="28"/>
      <c r="H68" s="66"/>
      <c r="I68" s="66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28"/>
      <c r="B69" s="28"/>
      <c r="C69" s="28"/>
      <c r="D69" s="28"/>
      <c r="E69" s="28"/>
      <c r="F69" s="28"/>
      <c r="G69" s="28"/>
      <c r="H69" s="66"/>
      <c r="I69" s="66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28"/>
      <c r="B70" s="28"/>
      <c r="C70" s="28"/>
      <c r="D70" s="28"/>
      <c r="E70" s="28"/>
      <c r="F70" s="28"/>
      <c r="G70" s="28"/>
      <c r="H70" s="66"/>
      <c r="I70" s="66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28"/>
      <c r="B71" s="28"/>
      <c r="C71" s="28"/>
      <c r="D71" s="28"/>
      <c r="E71" s="28"/>
      <c r="F71" s="28"/>
      <c r="G71" s="28"/>
      <c r="H71" s="66"/>
      <c r="I71" s="66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28"/>
      <c r="B72" s="28"/>
      <c r="C72" s="28"/>
      <c r="D72" s="28"/>
      <c r="E72" s="28"/>
      <c r="F72" s="28"/>
      <c r="G72" s="28"/>
      <c r="H72" s="66"/>
      <c r="I72" s="66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28"/>
      <c r="B73" s="28"/>
      <c r="C73" s="28"/>
      <c r="D73" s="28"/>
      <c r="E73" s="28"/>
      <c r="F73" s="28"/>
      <c r="G73" s="28"/>
      <c r="H73" s="66"/>
      <c r="I73" s="66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28"/>
      <c r="B74" s="28"/>
      <c r="C74" s="28"/>
      <c r="D74" s="28"/>
      <c r="E74" s="28"/>
      <c r="F74" s="28"/>
      <c r="G74" s="28"/>
      <c r="H74" s="66"/>
      <c r="I74" s="66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28"/>
      <c r="B75" s="28"/>
      <c r="C75" s="28"/>
      <c r="D75" s="28"/>
      <c r="E75" s="28"/>
      <c r="F75" s="28"/>
      <c r="G75" s="28"/>
      <c r="H75" s="66"/>
      <c r="I75" s="66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28"/>
      <c r="B76" s="28"/>
      <c r="C76" s="28"/>
      <c r="D76" s="28"/>
      <c r="E76" s="28"/>
      <c r="F76" s="28"/>
      <c r="G76" s="28"/>
      <c r="H76" s="66"/>
      <c r="I76" s="66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28"/>
      <c r="B77" s="28"/>
      <c r="C77" s="28"/>
      <c r="D77" s="28"/>
      <c r="E77" s="28"/>
      <c r="F77" s="28"/>
      <c r="G77" s="28"/>
      <c r="H77" s="66"/>
      <c r="I77" s="66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28"/>
      <c r="B78" s="28"/>
      <c r="C78" s="28"/>
      <c r="D78" s="28"/>
      <c r="E78" s="28"/>
      <c r="F78" s="28"/>
      <c r="G78" s="28"/>
      <c r="H78" s="66"/>
      <c r="I78" s="66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28"/>
      <c r="B79" s="28"/>
      <c r="C79" s="28"/>
      <c r="D79" s="28"/>
      <c r="E79" s="28"/>
      <c r="F79" s="28"/>
      <c r="G79" s="28"/>
      <c r="H79" s="66"/>
      <c r="I79" s="66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28"/>
      <c r="B80" s="28"/>
      <c r="C80" s="28"/>
      <c r="D80" s="28"/>
      <c r="E80" s="28"/>
      <c r="F80" s="28"/>
      <c r="G80" s="28"/>
      <c r="H80" s="66"/>
      <c r="I80" s="66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28"/>
      <c r="B81" s="28"/>
      <c r="C81" s="28"/>
      <c r="D81" s="28"/>
      <c r="E81" s="28"/>
      <c r="F81" s="28"/>
      <c r="G81" s="28"/>
      <c r="H81" s="66"/>
      <c r="I81" s="66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28"/>
      <c r="B82" s="28"/>
      <c r="C82" s="28"/>
      <c r="D82" s="28"/>
      <c r="E82" s="28"/>
      <c r="F82" s="28"/>
      <c r="G82" s="28"/>
      <c r="H82" s="66"/>
      <c r="I82" s="66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28"/>
      <c r="B83" s="28"/>
      <c r="C83" s="28"/>
      <c r="D83" s="28"/>
      <c r="E83" s="28"/>
      <c r="F83" s="28"/>
      <c r="G83" s="28"/>
      <c r="H83" s="66"/>
      <c r="I83" s="66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28"/>
      <c r="B84" s="28"/>
      <c r="C84" s="28"/>
      <c r="D84" s="28"/>
      <c r="E84" s="28"/>
      <c r="F84" s="28"/>
      <c r="G84" s="28"/>
      <c r="H84" s="66"/>
      <c r="I84" s="66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28"/>
      <c r="B85" s="28"/>
      <c r="C85" s="28"/>
      <c r="D85" s="28"/>
      <c r="E85" s="28"/>
      <c r="F85" s="28"/>
      <c r="G85" s="28"/>
      <c r="H85" s="66"/>
      <c r="I85" s="66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28"/>
      <c r="B86" s="28"/>
      <c r="C86" s="28"/>
      <c r="D86" s="28"/>
      <c r="E86" s="28"/>
      <c r="F86" s="28"/>
      <c r="G86" s="28"/>
      <c r="H86" s="66"/>
      <c r="I86" s="66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28"/>
      <c r="B87" s="28"/>
      <c r="C87" s="28"/>
      <c r="D87" s="28"/>
      <c r="E87" s="28"/>
      <c r="F87" s="28"/>
      <c r="G87" s="28"/>
      <c r="H87" s="66"/>
      <c r="I87" s="66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28"/>
      <c r="B88" s="28"/>
      <c r="C88" s="28"/>
      <c r="D88" s="28"/>
      <c r="E88" s="28"/>
      <c r="F88" s="28"/>
      <c r="G88" s="28"/>
      <c r="H88" s="66"/>
      <c r="I88" s="66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28"/>
      <c r="B89" s="28"/>
      <c r="C89" s="28"/>
      <c r="D89" s="28"/>
      <c r="E89" s="28"/>
      <c r="F89" s="28"/>
      <c r="G89" s="28"/>
      <c r="H89" s="66"/>
      <c r="I89" s="66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28"/>
      <c r="B90" s="28"/>
      <c r="C90" s="28"/>
      <c r="D90" s="28"/>
      <c r="E90" s="28"/>
      <c r="F90" s="28"/>
      <c r="G90" s="28"/>
      <c r="H90" s="66"/>
      <c r="I90" s="6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28"/>
      <c r="B91" s="28"/>
      <c r="C91" s="28"/>
      <c r="D91" s="28"/>
      <c r="E91" s="28"/>
      <c r="F91" s="28"/>
      <c r="G91" s="28"/>
      <c r="H91" s="66"/>
      <c r="I91" s="6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28"/>
      <c r="B92" s="28"/>
      <c r="C92" s="28"/>
      <c r="D92" s="28"/>
      <c r="E92" s="28"/>
      <c r="F92" s="28"/>
      <c r="G92" s="28"/>
      <c r="H92" s="66"/>
      <c r="I92" s="66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28"/>
      <c r="B93" s="28"/>
      <c r="C93" s="28"/>
      <c r="D93" s="28"/>
      <c r="E93" s="28"/>
      <c r="F93" s="28"/>
      <c r="G93" s="28"/>
      <c r="H93" s="66"/>
      <c r="I93" s="66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28"/>
      <c r="B94" s="28"/>
      <c r="C94" s="28"/>
      <c r="D94" s="28"/>
      <c r="E94" s="28"/>
      <c r="F94" s="28"/>
      <c r="G94" s="28"/>
      <c r="H94" s="66"/>
      <c r="I94" s="66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28"/>
      <c r="B95" s="28"/>
      <c r="C95" s="28"/>
      <c r="D95" s="28"/>
      <c r="E95" s="28"/>
      <c r="F95" s="28"/>
      <c r="G95" s="28"/>
      <c r="H95" s="66"/>
      <c r="I95" s="66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28"/>
      <c r="B96" s="28"/>
      <c r="C96" s="28"/>
      <c r="D96" s="28"/>
      <c r="E96" s="28"/>
      <c r="F96" s="28"/>
      <c r="G96" s="28"/>
      <c r="H96" s="66"/>
      <c r="I96" s="66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28"/>
      <c r="B97" s="28"/>
      <c r="C97" s="28"/>
      <c r="D97" s="28"/>
      <c r="E97" s="28"/>
      <c r="F97" s="28"/>
      <c r="G97" s="28"/>
      <c r="H97" s="66"/>
      <c r="I97" s="66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28"/>
      <c r="B98" s="28"/>
      <c r="C98" s="28"/>
      <c r="D98" s="28"/>
      <c r="E98" s="28"/>
      <c r="F98" s="28"/>
      <c r="G98" s="28"/>
      <c r="H98" s="66"/>
      <c r="I98" s="66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28"/>
      <c r="B99" s="28"/>
      <c r="C99" s="28"/>
      <c r="D99" s="28"/>
      <c r="E99" s="28"/>
      <c r="F99" s="28"/>
      <c r="G99" s="28"/>
      <c r="H99" s="66"/>
      <c r="I99" s="66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28"/>
      <c r="B100" s="28"/>
      <c r="C100" s="28"/>
      <c r="D100" s="28"/>
      <c r="E100" s="28"/>
      <c r="F100" s="28"/>
      <c r="G100" s="28"/>
      <c r="H100" s="66"/>
      <c r="I100" s="66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28"/>
      <c r="B101" s="28"/>
      <c r="C101" s="28"/>
      <c r="D101" s="28"/>
      <c r="E101" s="28"/>
      <c r="F101" s="28"/>
      <c r="G101" s="28"/>
      <c r="H101" s="66"/>
      <c r="I101" s="66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28"/>
      <c r="B102" s="28"/>
      <c r="C102" s="28"/>
      <c r="D102" s="28"/>
      <c r="E102" s="28"/>
      <c r="F102" s="28"/>
      <c r="G102" s="28"/>
      <c r="H102" s="66"/>
      <c r="I102" s="66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28"/>
      <c r="B103" s="28"/>
      <c r="C103" s="28"/>
      <c r="D103" s="28"/>
      <c r="E103" s="28"/>
      <c r="F103" s="28"/>
      <c r="G103" s="28"/>
      <c r="H103" s="66"/>
      <c r="I103" s="66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28"/>
      <c r="B104" s="28"/>
      <c r="C104" s="28"/>
      <c r="D104" s="28"/>
      <c r="E104" s="28"/>
      <c r="F104" s="28"/>
      <c r="G104" s="28"/>
      <c r="H104" s="66"/>
      <c r="I104" s="66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28"/>
      <c r="B105" s="28"/>
      <c r="C105" s="28"/>
      <c r="D105" s="28"/>
      <c r="E105" s="28"/>
      <c r="F105" s="28"/>
      <c r="G105" s="28"/>
      <c r="H105" s="66"/>
      <c r="I105" s="66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28"/>
      <c r="B106" s="28"/>
      <c r="C106" s="28"/>
      <c r="D106" s="28"/>
      <c r="E106" s="28"/>
      <c r="F106" s="28"/>
      <c r="G106" s="28"/>
      <c r="H106" s="66"/>
      <c r="I106" s="66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28"/>
      <c r="B107" s="28"/>
      <c r="C107" s="28"/>
      <c r="D107" s="28"/>
      <c r="E107" s="28"/>
      <c r="F107" s="28"/>
      <c r="G107" s="28"/>
      <c r="H107" s="66"/>
      <c r="I107" s="66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28"/>
      <c r="B108" s="28"/>
      <c r="C108" s="28"/>
      <c r="D108" s="28"/>
      <c r="E108" s="28"/>
      <c r="F108" s="28"/>
      <c r="G108" s="28"/>
      <c r="H108" s="66"/>
      <c r="I108" s="66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28"/>
      <c r="B109" s="28"/>
      <c r="C109" s="28"/>
      <c r="D109" s="28"/>
      <c r="E109" s="28"/>
      <c r="F109" s="28"/>
      <c r="G109" s="28"/>
      <c r="H109" s="66"/>
      <c r="I109" s="66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28"/>
      <c r="B110" s="28"/>
      <c r="C110" s="28"/>
      <c r="D110" s="28"/>
      <c r="E110" s="28"/>
      <c r="F110" s="28"/>
      <c r="G110" s="28"/>
      <c r="H110" s="66"/>
      <c r="I110" s="66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66"/>
      <c r="I111" s="66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66"/>
      <c r="I112" s="66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66"/>
      <c r="I113" s="66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66"/>
      <c r="I114" s="66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66"/>
      <c r="I115" s="66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66"/>
      <c r="I116" s="66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66"/>
      <c r="I117" s="66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66"/>
      <c r="I118" s="6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66"/>
      <c r="I119" s="6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66"/>
      <c r="I120" s="6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66"/>
      <c r="I121" s="6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66"/>
      <c r="I122" s="6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66"/>
      <c r="I123" s="6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66"/>
      <c r="I124" s="6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66"/>
      <c r="I125" s="6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66"/>
      <c r="I126" s="6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66"/>
      <c r="I127" s="6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66"/>
      <c r="I128" s="6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66"/>
      <c r="I129" s="6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66"/>
      <c r="I130" s="6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66"/>
      <c r="I131" s="66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66"/>
      <c r="I132" s="66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66"/>
      <c r="I133" s="66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66"/>
      <c r="I134" s="66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66"/>
      <c r="I135" s="66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66"/>
      <c r="I136" s="66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66"/>
      <c r="I137" s="66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66"/>
      <c r="I138" s="66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66"/>
      <c r="I139" s="66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66"/>
      <c r="I140" s="66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66"/>
      <c r="I141" s="66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66"/>
      <c r="I142" s="66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66"/>
      <c r="I143" s="66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66"/>
      <c r="I144" s="66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66"/>
      <c r="I145" s="66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>
      <c r="A146" s="28"/>
      <c r="B146" s="28"/>
      <c r="C146" s="28"/>
      <c r="D146" s="28"/>
      <c r="E146" s="28"/>
      <c r="F146" s="28"/>
      <c r="G146" s="28"/>
      <c r="H146" s="66"/>
      <c r="I146" s="66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>
      <c r="A147" s="28"/>
      <c r="B147" s="28"/>
      <c r="C147" s="28"/>
      <c r="D147" s="28"/>
      <c r="E147" s="28"/>
      <c r="F147" s="28"/>
      <c r="G147" s="28"/>
      <c r="H147" s="66"/>
      <c r="I147" s="66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28"/>
      <c r="G148" s="28"/>
      <c r="H148" s="66"/>
      <c r="I148" s="66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28"/>
      <c r="G149" s="28"/>
      <c r="H149" s="66"/>
      <c r="I149" s="66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28"/>
      <c r="B150" s="28"/>
      <c r="C150" s="28"/>
      <c r="D150" s="28"/>
      <c r="E150" s="28"/>
      <c r="F150" s="28"/>
      <c r="G150" s="28"/>
      <c r="H150" s="66"/>
      <c r="I150" s="66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28"/>
      <c r="G151" s="28"/>
      <c r="H151" s="66"/>
      <c r="I151" s="66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28"/>
      <c r="G152" s="28"/>
      <c r="H152" s="66"/>
      <c r="I152" s="66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28"/>
      <c r="G153" s="28"/>
      <c r="H153" s="66"/>
      <c r="I153" s="66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28"/>
      <c r="G154" s="28"/>
      <c r="H154" s="66"/>
      <c r="I154" s="66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28"/>
      <c r="G155" s="28"/>
      <c r="H155" s="66"/>
      <c r="I155" s="66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28"/>
      <c r="G156" s="28"/>
      <c r="H156" s="66"/>
      <c r="I156" s="66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28"/>
      <c r="G157" s="28"/>
      <c r="H157" s="66"/>
      <c r="I157" s="66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28"/>
      <c r="G158" s="28"/>
      <c r="H158" s="66"/>
      <c r="I158" s="66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28"/>
      <c r="G159" s="28"/>
      <c r="H159" s="66"/>
      <c r="I159" s="66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28"/>
      <c r="G160" s="28"/>
      <c r="H160" s="66"/>
      <c r="I160" s="66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28"/>
      <c r="G161" s="28"/>
      <c r="H161" s="66"/>
      <c r="I161" s="66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28"/>
      <c r="G162" s="28"/>
      <c r="H162" s="66"/>
      <c r="I162" s="66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28"/>
      <c r="G163" s="28"/>
      <c r="H163" s="66"/>
      <c r="I163" s="66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28"/>
      <c r="G164" s="28"/>
      <c r="H164" s="66"/>
      <c r="I164" s="66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28"/>
      <c r="G165" s="28"/>
      <c r="H165" s="66"/>
      <c r="I165" s="66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28"/>
      <c r="G166" s="28"/>
      <c r="H166" s="66"/>
      <c r="I166" s="66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28"/>
      <c r="G167" s="28"/>
      <c r="H167" s="66"/>
      <c r="I167" s="66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28"/>
      <c r="G168" s="28"/>
      <c r="H168" s="66"/>
      <c r="I168" s="66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28"/>
      <c r="G169" s="28"/>
      <c r="H169" s="66"/>
      <c r="I169" s="66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28"/>
      <c r="G170" s="28"/>
      <c r="H170" s="66"/>
      <c r="I170" s="66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28"/>
      <c r="G171" s="28"/>
      <c r="H171" s="66"/>
      <c r="I171" s="66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28"/>
      <c r="G172" s="28"/>
      <c r="H172" s="66"/>
      <c r="I172" s="66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28"/>
      <c r="G173" s="28"/>
      <c r="H173" s="66"/>
      <c r="I173" s="66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28"/>
      <c r="G174" s="28"/>
      <c r="H174" s="66"/>
      <c r="I174" s="66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28"/>
      <c r="G175" s="28"/>
      <c r="H175" s="66"/>
      <c r="I175" s="66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28"/>
      <c r="G176" s="28"/>
      <c r="H176" s="66"/>
      <c r="I176" s="66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28"/>
      <c r="G177" s="28"/>
      <c r="H177" s="66"/>
      <c r="I177" s="66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28"/>
      <c r="G178" s="28"/>
      <c r="H178" s="66"/>
      <c r="I178" s="66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28"/>
      <c r="G179" s="28"/>
      <c r="H179" s="66"/>
      <c r="I179" s="66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28"/>
      <c r="G180" s="28"/>
      <c r="H180" s="66"/>
      <c r="I180" s="66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28"/>
      <c r="G181" s="28"/>
      <c r="H181" s="66"/>
      <c r="I181" s="66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28"/>
      <c r="G182" s="28"/>
      <c r="H182" s="66"/>
      <c r="I182" s="66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28"/>
      <c r="G183" s="28"/>
      <c r="H183" s="66"/>
      <c r="I183" s="66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28"/>
      <c r="G184" s="28"/>
      <c r="H184" s="66"/>
      <c r="I184" s="66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28"/>
      <c r="G185" s="28"/>
      <c r="H185" s="66"/>
      <c r="I185" s="66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28"/>
      <c r="G186" s="28"/>
      <c r="H186" s="66"/>
      <c r="I186" s="66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28"/>
      <c r="G187" s="28"/>
      <c r="H187" s="66"/>
      <c r="I187" s="66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28"/>
      <c r="G188" s="28"/>
      <c r="H188" s="66"/>
      <c r="I188" s="66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28"/>
      <c r="G189" s="28"/>
      <c r="H189" s="66"/>
      <c r="I189" s="66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28"/>
      <c r="G190" s="28"/>
      <c r="H190" s="66"/>
      <c r="I190" s="66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28"/>
      <c r="G191" s="28"/>
      <c r="H191" s="66"/>
      <c r="I191" s="66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28"/>
      <c r="G192" s="28"/>
      <c r="H192" s="66"/>
      <c r="I192" s="66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28"/>
      <c r="G193" s="28"/>
      <c r="H193" s="66"/>
      <c r="I193" s="66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28"/>
      <c r="G194" s="28"/>
      <c r="H194" s="66"/>
      <c r="I194" s="66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28"/>
      <c r="G195" s="28"/>
      <c r="H195" s="66"/>
      <c r="I195" s="66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28"/>
      <c r="G196" s="28"/>
      <c r="H196" s="66"/>
      <c r="I196" s="66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28"/>
      <c r="G197" s="28"/>
      <c r="H197" s="66"/>
      <c r="I197" s="66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28"/>
      <c r="G198" s="28"/>
      <c r="H198" s="66"/>
      <c r="I198" s="66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28"/>
      <c r="G199" s="28"/>
      <c r="H199" s="66"/>
      <c r="I199" s="66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28"/>
      <c r="G200" s="28"/>
      <c r="H200" s="66"/>
      <c r="I200" s="66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28"/>
      <c r="G201" s="28"/>
      <c r="H201" s="66"/>
      <c r="I201" s="66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28"/>
      <c r="G202" s="28"/>
      <c r="H202" s="66"/>
      <c r="I202" s="66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28"/>
      <c r="G203" s="28"/>
      <c r="H203" s="66"/>
      <c r="I203" s="66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28"/>
      <c r="G204" s="28"/>
      <c r="H204" s="66"/>
      <c r="I204" s="66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28"/>
      <c r="G205" s="28"/>
      <c r="H205" s="66"/>
      <c r="I205" s="66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28"/>
      <c r="G206" s="28"/>
      <c r="H206" s="66"/>
      <c r="I206" s="66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28"/>
      <c r="G207" s="28"/>
      <c r="H207" s="66"/>
      <c r="I207" s="66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28"/>
      <c r="G208" s="28"/>
      <c r="H208" s="66"/>
      <c r="I208" s="66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28"/>
      <c r="G209" s="28"/>
      <c r="H209" s="66"/>
      <c r="I209" s="66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28"/>
      <c r="G210" s="28"/>
      <c r="H210" s="66"/>
      <c r="I210" s="66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28"/>
      <c r="G211" s="28"/>
      <c r="H211" s="66"/>
      <c r="I211" s="66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28"/>
      <c r="G212" s="28"/>
      <c r="H212" s="66"/>
      <c r="I212" s="66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28"/>
      <c r="G213" s="28"/>
      <c r="H213" s="66"/>
      <c r="I213" s="66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28"/>
      <c r="G214" s="28"/>
      <c r="H214" s="66"/>
      <c r="I214" s="66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28"/>
      <c r="G215" s="28"/>
      <c r="H215" s="66"/>
      <c r="I215" s="66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28"/>
      <c r="G216" s="28"/>
      <c r="H216" s="66"/>
      <c r="I216" s="66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28"/>
      <c r="G217" s="28"/>
      <c r="H217" s="66"/>
      <c r="I217" s="66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28"/>
      <c r="G218" s="28"/>
      <c r="H218" s="66"/>
      <c r="I218" s="66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28"/>
      <c r="G219" s="28"/>
      <c r="H219" s="66"/>
      <c r="I219" s="66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28"/>
      <c r="G220" s="28"/>
      <c r="H220" s="66"/>
      <c r="I220" s="66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28"/>
      <c r="G221" s="28"/>
      <c r="H221" s="66"/>
      <c r="I221" s="66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28"/>
      <c r="G222" s="28"/>
      <c r="H222" s="66"/>
      <c r="I222" s="66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28"/>
      <c r="G223" s="28"/>
      <c r="H223" s="66"/>
      <c r="I223" s="66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28"/>
      <c r="G224" s="28"/>
      <c r="H224" s="66"/>
      <c r="I224" s="66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28"/>
      <c r="G225" s="28"/>
      <c r="H225" s="66"/>
      <c r="I225" s="66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28"/>
      <c r="G226" s="28"/>
      <c r="H226" s="66"/>
      <c r="I226" s="66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28"/>
      <c r="G227" s="28"/>
      <c r="H227" s="66"/>
      <c r="I227" s="66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28"/>
      <c r="G228" s="28"/>
      <c r="H228" s="66"/>
      <c r="I228" s="66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28"/>
      <c r="G229" s="28"/>
      <c r="H229" s="66"/>
      <c r="I229" s="66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28"/>
      <c r="G230" s="28"/>
      <c r="H230" s="66"/>
      <c r="I230" s="66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28"/>
      <c r="G231" s="28"/>
      <c r="H231" s="66"/>
      <c r="I231" s="66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28"/>
      <c r="G232" s="28"/>
      <c r="H232" s="66"/>
      <c r="I232" s="66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28"/>
      <c r="G233" s="28"/>
      <c r="H233" s="66"/>
      <c r="I233" s="66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28"/>
      <c r="G234" s="28"/>
      <c r="H234" s="66"/>
      <c r="I234" s="66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28"/>
      <c r="G235" s="28"/>
      <c r="H235" s="66"/>
      <c r="I235" s="66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28"/>
      <c r="G236" s="28"/>
      <c r="H236" s="66"/>
      <c r="I236" s="66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28"/>
      <c r="G237" s="28"/>
      <c r="H237" s="66"/>
      <c r="I237" s="66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28"/>
      <c r="G238" s="28"/>
      <c r="H238" s="66"/>
      <c r="I238" s="66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28"/>
      <c r="G239" s="28"/>
      <c r="H239" s="66"/>
      <c r="I239" s="66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28"/>
      <c r="G240" s="28"/>
      <c r="H240" s="66"/>
      <c r="I240" s="66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28"/>
      <c r="G241" s="28"/>
      <c r="H241" s="66"/>
      <c r="I241" s="66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28"/>
      <c r="G242" s="28"/>
      <c r="H242" s="66"/>
      <c r="I242" s="66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28"/>
      <c r="G243" s="28"/>
      <c r="H243" s="66"/>
      <c r="I243" s="66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28"/>
      <c r="G244" s="28"/>
      <c r="H244" s="66"/>
      <c r="I244" s="66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28"/>
      <c r="G245" s="28"/>
      <c r="H245" s="66"/>
      <c r="I245" s="66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28"/>
      <c r="G246" s="28"/>
      <c r="H246" s="66"/>
      <c r="I246" s="66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28"/>
      <c r="G247" s="28"/>
      <c r="H247" s="66"/>
      <c r="I247" s="66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28"/>
      <c r="G248" s="28"/>
      <c r="H248" s="66"/>
      <c r="I248" s="66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28"/>
      <c r="G249" s="28"/>
      <c r="H249" s="66"/>
      <c r="I249" s="66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28"/>
      <c r="G250" s="28"/>
      <c r="H250" s="66"/>
      <c r="I250" s="66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28"/>
      <c r="G251" s="28"/>
      <c r="H251" s="66"/>
      <c r="I251" s="66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28"/>
      <c r="G252" s="28"/>
      <c r="H252" s="66"/>
      <c r="I252" s="66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28"/>
      <c r="G253" s="28"/>
      <c r="H253" s="66"/>
      <c r="I253" s="66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28"/>
      <c r="G254" s="28"/>
      <c r="H254" s="66"/>
      <c r="I254" s="66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28"/>
      <c r="G255" s="28"/>
      <c r="H255" s="66"/>
      <c r="I255" s="66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28"/>
      <c r="G256" s="28"/>
      <c r="H256" s="66"/>
      <c r="I256" s="66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28"/>
      <c r="G257" s="28"/>
      <c r="H257" s="66"/>
      <c r="I257" s="66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28"/>
      <c r="G258" s="28"/>
      <c r="H258" s="66"/>
      <c r="I258" s="66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28"/>
      <c r="G259" s="28"/>
      <c r="H259" s="66"/>
      <c r="I259" s="66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28"/>
      <c r="G260" s="28"/>
      <c r="H260" s="66"/>
      <c r="I260" s="66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28"/>
      <c r="G261" s="28"/>
      <c r="H261" s="66"/>
      <c r="I261" s="66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28"/>
      <c r="G262" s="28"/>
      <c r="H262" s="66"/>
      <c r="I262" s="66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28"/>
      <c r="G263" s="28"/>
      <c r="H263" s="66"/>
      <c r="I263" s="66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28"/>
      <c r="G264" s="28"/>
      <c r="H264" s="66"/>
      <c r="I264" s="66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28"/>
      <c r="G265" s="28"/>
      <c r="H265" s="66"/>
      <c r="I265" s="66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28"/>
      <c r="G266" s="28"/>
      <c r="H266" s="66"/>
      <c r="I266" s="66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28"/>
      <c r="G267" s="28"/>
      <c r="H267" s="66"/>
      <c r="I267" s="66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28"/>
      <c r="G268" s="28"/>
      <c r="H268" s="66"/>
      <c r="I268" s="66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28"/>
      <c r="G269" s="28"/>
      <c r="H269" s="66"/>
      <c r="I269" s="66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28"/>
      <c r="G270" s="28"/>
      <c r="H270" s="66"/>
      <c r="I270" s="66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28"/>
      <c r="G271" s="28"/>
      <c r="H271" s="66"/>
      <c r="I271" s="66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28"/>
      <c r="G272" s="28"/>
      <c r="H272" s="66"/>
      <c r="I272" s="66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28"/>
      <c r="G273" s="28"/>
      <c r="H273" s="66"/>
      <c r="I273" s="66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28"/>
      <c r="G274" s="28"/>
      <c r="H274" s="66"/>
      <c r="I274" s="66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28"/>
      <c r="G275" s="28"/>
      <c r="H275" s="66"/>
      <c r="I275" s="66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28"/>
      <c r="G276" s="28"/>
      <c r="H276" s="66"/>
      <c r="I276" s="66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28"/>
      <c r="G277" s="28"/>
      <c r="H277" s="66"/>
      <c r="I277" s="66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28"/>
      <c r="G278" s="28"/>
      <c r="H278" s="66"/>
      <c r="I278" s="66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28"/>
      <c r="G279" s="28"/>
      <c r="H279" s="66"/>
      <c r="I279" s="66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28"/>
      <c r="G280" s="28"/>
      <c r="H280" s="66"/>
      <c r="I280" s="66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28"/>
      <c r="G281" s="28"/>
      <c r="H281" s="66"/>
      <c r="I281" s="66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28"/>
      <c r="G282" s="28"/>
      <c r="H282" s="66"/>
      <c r="I282" s="66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28"/>
      <c r="G283" s="28"/>
      <c r="H283" s="66"/>
      <c r="I283" s="66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28"/>
      <c r="G284" s="28"/>
      <c r="H284" s="66"/>
      <c r="I284" s="66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28"/>
      <c r="G285" s="28"/>
      <c r="H285" s="66"/>
      <c r="I285" s="66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28"/>
      <c r="G286" s="28"/>
      <c r="H286" s="66"/>
      <c r="I286" s="66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28"/>
      <c r="G287" s="28"/>
      <c r="H287" s="66"/>
      <c r="I287" s="66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28"/>
      <c r="G288" s="28"/>
      <c r="H288" s="66"/>
      <c r="I288" s="66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28"/>
      <c r="G289" s="28"/>
      <c r="H289" s="66"/>
      <c r="I289" s="66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28"/>
      <c r="G290" s="28"/>
      <c r="H290" s="66"/>
      <c r="I290" s="66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28"/>
      <c r="G291" s="28"/>
      <c r="H291" s="66"/>
      <c r="I291" s="66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28"/>
      <c r="G292" s="28"/>
      <c r="H292" s="66"/>
      <c r="I292" s="66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28"/>
      <c r="G293" s="28"/>
      <c r="H293" s="66"/>
      <c r="I293" s="66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28"/>
      <c r="G294" s="28"/>
      <c r="H294" s="66"/>
      <c r="I294" s="66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28"/>
      <c r="G295" s="28"/>
      <c r="H295" s="66"/>
      <c r="I295" s="66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28"/>
      <c r="G296" s="28"/>
      <c r="H296" s="66"/>
      <c r="I296" s="66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28"/>
      <c r="G297" s="28"/>
      <c r="H297" s="66"/>
      <c r="I297" s="66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28"/>
      <c r="G298" s="28"/>
      <c r="H298" s="66"/>
      <c r="I298" s="66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28"/>
      <c r="G299" s="28"/>
      <c r="H299" s="66"/>
      <c r="I299" s="66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28"/>
      <c r="G300" s="28"/>
      <c r="H300" s="66"/>
      <c r="I300" s="66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28"/>
      <c r="G301" s="28"/>
      <c r="H301" s="66"/>
      <c r="I301" s="66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28"/>
      <c r="G302" s="28"/>
      <c r="H302" s="66"/>
      <c r="I302" s="66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28"/>
      <c r="G303" s="28"/>
      <c r="H303" s="66"/>
      <c r="I303" s="66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28"/>
      <c r="G304" s="28"/>
      <c r="H304" s="66"/>
      <c r="I304" s="66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28"/>
      <c r="G305" s="28"/>
      <c r="H305" s="66"/>
      <c r="I305" s="66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28"/>
      <c r="G306" s="28"/>
      <c r="H306" s="66"/>
      <c r="I306" s="66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28"/>
      <c r="G307" s="28"/>
      <c r="H307" s="66"/>
      <c r="I307" s="66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28"/>
      <c r="G308" s="28"/>
      <c r="H308" s="66"/>
      <c r="I308" s="66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28"/>
      <c r="G309" s="28"/>
      <c r="H309" s="66"/>
      <c r="I309" s="66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28"/>
      <c r="G310" s="28"/>
      <c r="H310" s="66"/>
      <c r="I310" s="66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28"/>
      <c r="G311" s="28"/>
      <c r="H311" s="66"/>
      <c r="I311" s="66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28"/>
      <c r="G312" s="28"/>
      <c r="H312" s="66"/>
      <c r="I312" s="66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28"/>
      <c r="G313" s="28"/>
      <c r="H313" s="66"/>
      <c r="I313" s="66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28"/>
      <c r="G314" s="28"/>
      <c r="H314" s="66"/>
      <c r="I314" s="66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28"/>
      <c r="G315" s="28"/>
      <c r="H315" s="66"/>
      <c r="I315" s="66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28"/>
      <c r="G316" s="28"/>
      <c r="H316" s="66"/>
      <c r="I316" s="66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28"/>
      <c r="G317" s="28"/>
      <c r="H317" s="66"/>
      <c r="I317" s="66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28"/>
      <c r="G318" s="28"/>
      <c r="H318" s="66"/>
      <c r="I318" s="66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28"/>
      <c r="G319" s="28"/>
      <c r="H319" s="66"/>
      <c r="I319" s="66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28"/>
      <c r="G320" s="28"/>
      <c r="H320" s="66"/>
      <c r="I320" s="66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28"/>
      <c r="G321" s="28"/>
      <c r="H321" s="66"/>
      <c r="I321" s="66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28"/>
      <c r="G322" s="28"/>
      <c r="H322" s="66"/>
      <c r="I322" s="66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28"/>
      <c r="G323" s="28"/>
      <c r="H323" s="66"/>
      <c r="I323" s="66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28"/>
      <c r="G324" s="28"/>
      <c r="H324" s="66"/>
      <c r="I324" s="66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28"/>
      <c r="G325" s="28"/>
      <c r="H325" s="66"/>
      <c r="I325" s="66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28"/>
      <c r="G326" s="28"/>
      <c r="H326" s="66"/>
      <c r="I326" s="66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28"/>
      <c r="G327" s="28"/>
      <c r="H327" s="66"/>
      <c r="I327" s="66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28"/>
      <c r="G328" s="28"/>
      <c r="H328" s="66"/>
      <c r="I328" s="66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28"/>
      <c r="G329" s="28"/>
      <c r="H329" s="66"/>
      <c r="I329" s="66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28"/>
      <c r="G330" s="28"/>
      <c r="H330" s="66"/>
      <c r="I330" s="66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28"/>
      <c r="G331" s="28"/>
      <c r="H331" s="66"/>
      <c r="I331" s="66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28"/>
      <c r="G332" s="28"/>
      <c r="H332" s="66"/>
      <c r="I332" s="66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28"/>
      <c r="G333" s="28"/>
      <c r="H333" s="66"/>
      <c r="I333" s="66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28"/>
      <c r="G334" s="28"/>
      <c r="H334" s="66"/>
      <c r="I334" s="66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28"/>
      <c r="G335" s="28"/>
      <c r="H335" s="66"/>
      <c r="I335" s="66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28"/>
      <c r="G336" s="28"/>
      <c r="H336" s="66"/>
      <c r="I336" s="66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28"/>
      <c r="G337" s="28"/>
      <c r="H337" s="66"/>
      <c r="I337" s="66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28"/>
      <c r="G338" s="28"/>
      <c r="H338" s="66"/>
      <c r="I338" s="66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28"/>
      <c r="G339" s="28"/>
      <c r="H339" s="66"/>
      <c r="I339" s="66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28"/>
      <c r="G340" s="28"/>
      <c r="H340" s="66"/>
      <c r="I340" s="66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28"/>
      <c r="G341" s="28"/>
      <c r="H341" s="66"/>
      <c r="I341" s="66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28"/>
      <c r="G342" s="28"/>
      <c r="H342" s="66"/>
      <c r="I342" s="66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28"/>
      <c r="G343" s="28"/>
      <c r="H343" s="66"/>
      <c r="I343" s="66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28"/>
      <c r="G344" s="28"/>
      <c r="H344" s="66"/>
      <c r="I344" s="66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28"/>
      <c r="G345" s="28"/>
      <c r="H345" s="66"/>
      <c r="I345" s="66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28"/>
      <c r="G346" s="28"/>
      <c r="H346" s="66"/>
      <c r="I346" s="66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28"/>
      <c r="G347" s="28"/>
      <c r="H347" s="66"/>
      <c r="I347" s="66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28"/>
      <c r="G348" s="28"/>
      <c r="H348" s="66"/>
      <c r="I348" s="66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28"/>
      <c r="G349" s="28"/>
      <c r="H349" s="66"/>
      <c r="I349" s="66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28"/>
      <c r="G350" s="28"/>
      <c r="H350" s="66"/>
      <c r="I350" s="66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28"/>
      <c r="G351" s="28"/>
      <c r="H351" s="66"/>
      <c r="I351" s="66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28"/>
      <c r="G352" s="28"/>
      <c r="H352" s="66"/>
      <c r="I352" s="66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28"/>
      <c r="G353" s="28"/>
      <c r="H353" s="66"/>
      <c r="I353" s="66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28"/>
      <c r="G354" s="28"/>
      <c r="H354" s="66"/>
      <c r="I354" s="66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28"/>
      <c r="G355" s="28"/>
      <c r="H355" s="66"/>
      <c r="I355" s="66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28"/>
      <c r="G356" s="28"/>
      <c r="H356" s="66"/>
      <c r="I356" s="66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28"/>
      <c r="G357" s="28"/>
      <c r="H357" s="66"/>
      <c r="I357" s="66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28"/>
      <c r="G358" s="28"/>
      <c r="H358" s="66"/>
      <c r="I358" s="66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28"/>
      <c r="G359" s="28"/>
      <c r="H359" s="66"/>
      <c r="I359" s="66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28"/>
      <c r="G360" s="28"/>
      <c r="H360" s="66"/>
      <c r="I360" s="66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28"/>
      <c r="G361" s="28"/>
      <c r="H361" s="66"/>
      <c r="I361" s="66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28"/>
      <c r="G362" s="28"/>
      <c r="H362" s="66"/>
      <c r="I362" s="66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28"/>
      <c r="G363" s="28"/>
      <c r="H363" s="66"/>
      <c r="I363" s="66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28"/>
      <c r="G364" s="28"/>
      <c r="H364" s="66"/>
      <c r="I364" s="66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28"/>
      <c r="G365" s="28"/>
      <c r="H365" s="66"/>
      <c r="I365" s="66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28"/>
      <c r="G366" s="28"/>
      <c r="H366" s="66"/>
      <c r="I366" s="66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28"/>
      <c r="G367" s="28"/>
      <c r="H367" s="66"/>
      <c r="I367" s="66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28"/>
      <c r="G368" s="28"/>
      <c r="H368" s="66"/>
      <c r="I368" s="66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28"/>
      <c r="G369" s="28"/>
      <c r="H369" s="66"/>
      <c r="I369" s="66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28"/>
      <c r="G370" s="28"/>
      <c r="H370" s="66"/>
      <c r="I370" s="66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28"/>
      <c r="G371" s="28"/>
      <c r="H371" s="66"/>
      <c r="I371" s="66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28"/>
      <c r="G372" s="28"/>
      <c r="H372" s="66"/>
      <c r="I372" s="66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28"/>
      <c r="G373" s="28"/>
      <c r="H373" s="66"/>
      <c r="I373" s="66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28"/>
      <c r="G374" s="28"/>
      <c r="H374" s="66"/>
      <c r="I374" s="66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28"/>
      <c r="G375" s="28"/>
      <c r="H375" s="66"/>
      <c r="I375" s="66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28"/>
      <c r="G376" s="28"/>
      <c r="H376" s="66"/>
      <c r="I376" s="66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28"/>
      <c r="G377" s="28"/>
      <c r="H377" s="66"/>
      <c r="I377" s="66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28"/>
      <c r="G378" s="28"/>
      <c r="H378" s="66"/>
      <c r="I378" s="66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28"/>
      <c r="G379" s="28"/>
      <c r="H379" s="66"/>
      <c r="I379" s="66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28"/>
      <c r="G380" s="28"/>
      <c r="H380" s="66"/>
      <c r="I380" s="66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28"/>
      <c r="G381" s="28"/>
      <c r="H381" s="66"/>
      <c r="I381" s="66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28"/>
      <c r="G382" s="28"/>
      <c r="H382" s="66"/>
      <c r="I382" s="66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28"/>
      <c r="G383" s="28"/>
      <c r="H383" s="66"/>
      <c r="I383" s="66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28"/>
      <c r="G384" s="28"/>
      <c r="H384" s="66"/>
      <c r="I384" s="66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28"/>
      <c r="G385" s="28"/>
      <c r="H385" s="66"/>
      <c r="I385" s="66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28"/>
      <c r="G386" s="28"/>
      <c r="H386" s="66"/>
      <c r="I386" s="66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28"/>
      <c r="G387" s="28"/>
      <c r="H387" s="66"/>
      <c r="I387" s="66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28"/>
      <c r="G388" s="28"/>
      <c r="H388" s="66"/>
      <c r="I388" s="66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28"/>
      <c r="G389" s="28"/>
      <c r="H389" s="66"/>
      <c r="I389" s="66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28"/>
      <c r="G390" s="28"/>
      <c r="H390" s="66"/>
      <c r="I390" s="66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28"/>
      <c r="G391" s="28"/>
      <c r="H391" s="66"/>
      <c r="I391" s="66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28"/>
      <c r="G392" s="28"/>
      <c r="H392" s="66"/>
      <c r="I392" s="66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28"/>
      <c r="G393" s="28"/>
      <c r="H393" s="66"/>
      <c r="I393" s="66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28"/>
      <c r="G394" s="28"/>
      <c r="H394" s="66"/>
      <c r="I394" s="66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28"/>
      <c r="G395" s="28"/>
      <c r="H395" s="66"/>
      <c r="I395" s="66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28"/>
      <c r="G396" s="28"/>
      <c r="H396" s="66"/>
      <c r="I396" s="66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28"/>
      <c r="G397" s="28"/>
      <c r="H397" s="66"/>
      <c r="I397" s="66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28"/>
      <c r="G398" s="28"/>
      <c r="H398" s="66"/>
      <c r="I398" s="66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28"/>
      <c r="G399" s="28"/>
      <c r="H399" s="66"/>
      <c r="I399" s="66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28"/>
      <c r="G400" s="28"/>
      <c r="H400" s="66"/>
      <c r="I400" s="66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28"/>
      <c r="G401" s="28"/>
      <c r="H401" s="66"/>
      <c r="I401" s="66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28"/>
      <c r="G402" s="28"/>
      <c r="H402" s="66"/>
      <c r="I402" s="66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28"/>
      <c r="G403" s="28"/>
      <c r="H403" s="66"/>
      <c r="I403" s="66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28"/>
      <c r="G404" s="28"/>
      <c r="H404" s="66"/>
      <c r="I404" s="66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28"/>
      <c r="G405" s="28"/>
      <c r="H405" s="66"/>
      <c r="I405" s="66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28"/>
      <c r="G406" s="28"/>
      <c r="H406" s="66"/>
      <c r="I406" s="66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28"/>
      <c r="G407" s="28"/>
      <c r="H407" s="66"/>
      <c r="I407" s="66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28"/>
      <c r="G408" s="28"/>
      <c r="H408" s="66"/>
      <c r="I408" s="66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28"/>
      <c r="G409" s="28"/>
      <c r="H409" s="66"/>
      <c r="I409" s="66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28"/>
      <c r="G410" s="28"/>
      <c r="H410" s="66"/>
      <c r="I410" s="66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28"/>
      <c r="G411" s="28"/>
      <c r="H411" s="66"/>
      <c r="I411" s="66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28"/>
      <c r="G412" s="28"/>
      <c r="H412" s="66"/>
      <c r="I412" s="66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28"/>
      <c r="G413" s="28"/>
      <c r="H413" s="66"/>
      <c r="I413" s="66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28"/>
      <c r="G414" s="28"/>
      <c r="H414" s="66"/>
      <c r="I414" s="66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28"/>
      <c r="G415" s="28"/>
      <c r="H415" s="66"/>
      <c r="I415" s="66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28"/>
      <c r="G416" s="28"/>
      <c r="H416" s="66"/>
      <c r="I416" s="66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28"/>
      <c r="G417" s="28"/>
      <c r="H417" s="66"/>
      <c r="I417" s="66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28"/>
      <c r="G418" s="28"/>
      <c r="H418" s="66"/>
      <c r="I418" s="66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28"/>
      <c r="G419" s="28"/>
      <c r="H419" s="66"/>
      <c r="I419" s="66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28"/>
      <c r="G420" s="28"/>
      <c r="H420" s="66"/>
      <c r="I420" s="66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28"/>
      <c r="G421" s="28"/>
      <c r="H421" s="66"/>
      <c r="I421" s="66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28"/>
      <c r="G422" s="28"/>
      <c r="H422" s="66"/>
      <c r="I422" s="66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28"/>
      <c r="G423" s="28"/>
      <c r="H423" s="66"/>
      <c r="I423" s="66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28"/>
      <c r="G424" s="28"/>
      <c r="H424" s="66"/>
      <c r="I424" s="66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28"/>
      <c r="G425" s="28"/>
      <c r="H425" s="66"/>
      <c r="I425" s="66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28"/>
      <c r="G426" s="28"/>
      <c r="H426" s="66"/>
      <c r="I426" s="66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28"/>
      <c r="G427" s="28"/>
      <c r="H427" s="66"/>
      <c r="I427" s="66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28"/>
      <c r="G428" s="28"/>
      <c r="H428" s="66"/>
      <c r="I428" s="66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28"/>
      <c r="G429" s="28"/>
      <c r="H429" s="66"/>
      <c r="I429" s="66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28"/>
      <c r="G430" s="28"/>
      <c r="H430" s="66"/>
      <c r="I430" s="66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28"/>
      <c r="G431" s="28"/>
      <c r="H431" s="66"/>
      <c r="I431" s="66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28"/>
      <c r="G432" s="28"/>
      <c r="H432" s="66"/>
      <c r="I432" s="66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28"/>
      <c r="G433" s="28"/>
      <c r="H433" s="66"/>
      <c r="I433" s="66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28"/>
      <c r="G434" s="28"/>
      <c r="H434" s="66"/>
      <c r="I434" s="66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28"/>
      <c r="G435" s="28"/>
      <c r="H435" s="66"/>
      <c r="I435" s="66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28"/>
      <c r="G436" s="28"/>
      <c r="H436" s="66"/>
      <c r="I436" s="66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28"/>
      <c r="G437" s="28"/>
      <c r="H437" s="66"/>
      <c r="I437" s="66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28"/>
      <c r="G438" s="28"/>
      <c r="H438" s="66"/>
      <c r="I438" s="66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28"/>
      <c r="G439" s="28"/>
      <c r="H439" s="66"/>
      <c r="I439" s="66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28"/>
      <c r="G440" s="28"/>
      <c r="H440" s="66"/>
      <c r="I440" s="66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28"/>
      <c r="G441" s="28"/>
      <c r="H441" s="66"/>
      <c r="I441" s="66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28"/>
      <c r="G442" s="28"/>
      <c r="H442" s="66"/>
      <c r="I442" s="66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28"/>
      <c r="G443" s="28"/>
      <c r="H443" s="66"/>
      <c r="I443" s="66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28"/>
      <c r="G444" s="28"/>
      <c r="H444" s="66"/>
      <c r="I444" s="66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28"/>
      <c r="G445" s="28"/>
      <c r="H445" s="66"/>
      <c r="I445" s="66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28"/>
      <c r="G446" s="28"/>
      <c r="H446" s="66"/>
      <c r="I446" s="66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28"/>
      <c r="G447" s="28"/>
      <c r="H447" s="66"/>
      <c r="I447" s="66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28"/>
      <c r="G448" s="28"/>
      <c r="H448" s="66"/>
      <c r="I448" s="66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28"/>
      <c r="G449" s="28"/>
      <c r="H449" s="66"/>
      <c r="I449" s="66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28"/>
      <c r="G450" s="28"/>
      <c r="H450" s="66"/>
      <c r="I450" s="66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28"/>
      <c r="G451" s="28"/>
      <c r="H451" s="66"/>
      <c r="I451" s="66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28"/>
      <c r="G452" s="28"/>
      <c r="H452" s="66"/>
      <c r="I452" s="66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28"/>
      <c r="G453" s="28"/>
      <c r="H453" s="66"/>
      <c r="I453" s="66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28"/>
      <c r="G454" s="28"/>
      <c r="H454" s="66"/>
      <c r="I454" s="66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28"/>
      <c r="G455" s="28"/>
      <c r="H455" s="66"/>
      <c r="I455" s="66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28"/>
      <c r="G456" s="28"/>
      <c r="H456" s="66"/>
      <c r="I456" s="66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28"/>
      <c r="G457" s="28"/>
      <c r="H457" s="66"/>
      <c r="I457" s="66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28"/>
      <c r="G458" s="28"/>
      <c r="H458" s="66"/>
      <c r="I458" s="66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28"/>
      <c r="G459" s="28"/>
      <c r="H459" s="66"/>
      <c r="I459" s="66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28"/>
      <c r="G460" s="28"/>
      <c r="H460" s="66"/>
      <c r="I460" s="66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28"/>
      <c r="G461" s="28"/>
      <c r="H461" s="66"/>
      <c r="I461" s="66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28"/>
      <c r="G462" s="28"/>
      <c r="H462" s="66"/>
      <c r="I462" s="66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28"/>
      <c r="G463" s="28"/>
      <c r="H463" s="66"/>
      <c r="I463" s="66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28"/>
      <c r="G464" s="28"/>
      <c r="H464" s="66"/>
      <c r="I464" s="66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28"/>
      <c r="G465" s="28"/>
      <c r="H465" s="66"/>
      <c r="I465" s="66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28"/>
      <c r="G466" s="28"/>
      <c r="H466" s="66"/>
      <c r="I466" s="66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28"/>
      <c r="G467" s="28"/>
      <c r="H467" s="66"/>
      <c r="I467" s="66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28"/>
      <c r="G468" s="28"/>
      <c r="H468" s="66"/>
      <c r="I468" s="66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28"/>
      <c r="G469" s="28"/>
      <c r="H469" s="66"/>
      <c r="I469" s="66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28"/>
      <c r="G470" s="28"/>
      <c r="H470" s="66"/>
      <c r="I470" s="66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28"/>
      <c r="G471" s="28"/>
      <c r="H471" s="66"/>
      <c r="I471" s="66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28"/>
      <c r="G472" s="28"/>
      <c r="H472" s="66"/>
      <c r="I472" s="66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28"/>
      <c r="G473" s="28"/>
      <c r="H473" s="66"/>
      <c r="I473" s="66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28"/>
      <c r="G474" s="28"/>
      <c r="H474" s="66"/>
      <c r="I474" s="66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28"/>
      <c r="G475" s="28"/>
      <c r="H475" s="66"/>
      <c r="I475" s="66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28"/>
      <c r="G476" s="28"/>
      <c r="H476" s="66"/>
      <c r="I476" s="66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28"/>
      <c r="G477" s="28"/>
      <c r="H477" s="66"/>
      <c r="I477" s="66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28"/>
      <c r="G478" s="28"/>
      <c r="H478" s="66"/>
      <c r="I478" s="66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28"/>
      <c r="G479" s="28"/>
      <c r="H479" s="66"/>
      <c r="I479" s="66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28"/>
      <c r="G480" s="28"/>
      <c r="H480" s="66"/>
      <c r="I480" s="66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28"/>
      <c r="G481" s="28"/>
      <c r="H481" s="66"/>
      <c r="I481" s="66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28"/>
      <c r="G482" s="28"/>
      <c r="H482" s="66"/>
      <c r="I482" s="66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28"/>
      <c r="G483" s="28"/>
      <c r="H483" s="66"/>
      <c r="I483" s="66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28"/>
      <c r="G484" s="28"/>
      <c r="H484" s="66"/>
      <c r="I484" s="66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28"/>
      <c r="G485" s="28"/>
      <c r="H485" s="66"/>
      <c r="I485" s="66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28"/>
      <c r="G486" s="28"/>
      <c r="H486" s="66"/>
      <c r="I486" s="66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28"/>
      <c r="G487" s="28"/>
      <c r="H487" s="66"/>
      <c r="I487" s="66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28"/>
      <c r="G488" s="28"/>
      <c r="H488" s="66"/>
      <c r="I488" s="66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28"/>
      <c r="G489" s="28"/>
      <c r="H489" s="66"/>
      <c r="I489" s="66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28"/>
      <c r="G490" s="28"/>
      <c r="H490" s="66"/>
      <c r="I490" s="66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28"/>
      <c r="G491" s="28"/>
      <c r="H491" s="66"/>
      <c r="I491" s="66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28"/>
      <c r="G492" s="28"/>
      <c r="H492" s="66"/>
      <c r="I492" s="66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28"/>
      <c r="G493" s="28"/>
      <c r="H493" s="66"/>
      <c r="I493" s="66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28"/>
      <c r="G494" s="28"/>
      <c r="H494" s="66"/>
      <c r="I494" s="66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28"/>
      <c r="G495" s="28"/>
      <c r="H495" s="66"/>
      <c r="I495" s="66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28"/>
      <c r="G496" s="28"/>
      <c r="H496" s="66"/>
      <c r="I496" s="66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28"/>
      <c r="G497" s="28"/>
      <c r="H497" s="66"/>
      <c r="I497" s="66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28"/>
      <c r="G498" s="28"/>
      <c r="H498" s="66"/>
      <c r="I498" s="66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28"/>
      <c r="G499" s="28"/>
      <c r="H499" s="66"/>
      <c r="I499" s="66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28"/>
      <c r="G500" s="28"/>
      <c r="H500" s="66"/>
      <c r="I500" s="66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28"/>
      <c r="G501" s="28"/>
      <c r="H501" s="66"/>
      <c r="I501" s="66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28"/>
      <c r="G502" s="28"/>
      <c r="H502" s="66"/>
      <c r="I502" s="66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28"/>
      <c r="G503" s="28"/>
      <c r="H503" s="66"/>
      <c r="I503" s="66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28"/>
      <c r="G504" s="28"/>
      <c r="H504" s="66"/>
      <c r="I504" s="66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28"/>
      <c r="G505" s="28"/>
      <c r="H505" s="66"/>
      <c r="I505" s="66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28"/>
      <c r="G506" s="28"/>
      <c r="H506" s="66"/>
      <c r="I506" s="66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28"/>
      <c r="G507" s="28"/>
      <c r="H507" s="66"/>
      <c r="I507" s="66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28"/>
      <c r="G508" s="28"/>
      <c r="H508" s="66"/>
      <c r="I508" s="66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28"/>
      <c r="G509" s="28"/>
      <c r="H509" s="66"/>
      <c r="I509" s="66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28"/>
      <c r="G510" s="28"/>
      <c r="H510" s="66"/>
      <c r="I510" s="66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28"/>
      <c r="G511" s="28"/>
      <c r="H511" s="66"/>
      <c r="I511" s="66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28"/>
      <c r="G512" s="28"/>
      <c r="H512" s="66"/>
      <c r="I512" s="66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28"/>
      <c r="G513" s="28"/>
      <c r="H513" s="66"/>
      <c r="I513" s="66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28"/>
      <c r="G514" s="28"/>
      <c r="H514" s="66"/>
      <c r="I514" s="66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28"/>
      <c r="G515" s="28"/>
      <c r="H515" s="66"/>
      <c r="I515" s="66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28"/>
      <c r="G516" s="28"/>
      <c r="H516" s="66"/>
      <c r="I516" s="66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28"/>
      <c r="G517" s="28"/>
      <c r="H517" s="66"/>
      <c r="I517" s="66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28"/>
      <c r="G518" s="28"/>
      <c r="H518" s="66"/>
      <c r="I518" s="66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28"/>
      <c r="G519" s="28"/>
      <c r="H519" s="66"/>
      <c r="I519" s="66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28"/>
      <c r="G520" s="28"/>
      <c r="H520" s="66"/>
      <c r="I520" s="66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28"/>
      <c r="G521" s="28"/>
      <c r="H521" s="66"/>
      <c r="I521" s="66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28"/>
      <c r="G522" s="28"/>
      <c r="H522" s="66"/>
      <c r="I522" s="66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28"/>
      <c r="G523" s="28"/>
      <c r="H523" s="66"/>
      <c r="I523" s="66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28"/>
      <c r="G524" s="28"/>
      <c r="H524" s="66"/>
      <c r="I524" s="66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28"/>
      <c r="G525" s="28"/>
      <c r="H525" s="66"/>
      <c r="I525" s="66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28"/>
      <c r="G526" s="28"/>
      <c r="H526" s="66"/>
      <c r="I526" s="66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28"/>
      <c r="G527" s="28"/>
      <c r="H527" s="66"/>
      <c r="I527" s="66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28"/>
      <c r="G528" s="28"/>
      <c r="H528" s="66"/>
      <c r="I528" s="66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28"/>
      <c r="G529" s="28"/>
      <c r="H529" s="66"/>
      <c r="I529" s="66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28"/>
      <c r="G530" s="28"/>
      <c r="H530" s="66"/>
      <c r="I530" s="66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28"/>
      <c r="G531" s="28"/>
      <c r="H531" s="66"/>
      <c r="I531" s="66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28"/>
      <c r="G532" s="28"/>
      <c r="H532" s="66"/>
      <c r="I532" s="66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28"/>
      <c r="G533" s="28"/>
      <c r="H533" s="66"/>
      <c r="I533" s="66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28"/>
      <c r="G534" s="28"/>
      <c r="H534" s="66"/>
      <c r="I534" s="66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28"/>
      <c r="G535" s="28"/>
      <c r="H535" s="66"/>
      <c r="I535" s="66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28"/>
      <c r="G536" s="28"/>
      <c r="H536" s="66"/>
      <c r="I536" s="66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28"/>
      <c r="G537" s="28"/>
      <c r="H537" s="66"/>
      <c r="I537" s="66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28"/>
      <c r="G538" s="28"/>
      <c r="H538" s="66"/>
      <c r="I538" s="66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28"/>
      <c r="G539" s="28"/>
      <c r="H539" s="66"/>
      <c r="I539" s="66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28"/>
      <c r="G540" s="28"/>
      <c r="H540" s="66"/>
      <c r="I540" s="66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28"/>
      <c r="G541" s="28"/>
      <c r="H541" s="66"/>
      <c r="I541" s="66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28"/>
      <c r="G542" s="28"/>
      <c r="H542" s="66"/>
      <c r="I542" s="66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28"/>
      <c r="G543" s="28"/>
      <c r="H543" s="66"/>
      <c r="I543" s="66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28"/>
      <c r="G544" s="28"/>
      <c r="H544" s="66"/>
      <c r="I544" s="66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28"/>
      <c r="G545" s="28"/>
      <c r="H545" s="66"/>
      <c r="I545" s="66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28"/>
      <c r="G546" s="28"/>
      <c r="H546" s="66"/>
      <c r="I546" s="66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28"/>
      <c r="G547" s="28"/>
      <c r="H547" s="66"/>
      <c r="I547" s="66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28"/>
      <c r="G548" s="28"/>
      <c r="H548" s="66"/>
      <c r="I548" s="66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28"/>
      <c r="G549" s="28"/>
      <c r="H549" s="66"/>
      <c r="I549" s="66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28"/>
      <c r="G550" s="28"/>
      <c r="H550" s="66"/>
      <c r="I550" s="66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28"/>
      <c r="G551" s="28"/>
      <c r="H551" s="66"/>
      <c r="I551" s="66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28"/>
      <c r="G552" s="28"/>
      <c r="H552" s="66"/>
      <c r="I552" s="66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28"/>
      <c r="G553" s="28"/>
      <c r="H553" s="66"/>
      <c r="I553" s="66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28"/>
      <c r="G554" s="28"/>
      <c r="H554" s="66"/>
      <c r="I554" s="66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28"/>
      <c r="G555" s="28"/>
      <c r="H555" s="66"/>
      <c r="I555" s="66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28"/>
      <c r="G556" s="28"/>
      <c r="H556" s="66"/>
      <c r="I556" s="66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28"/>
      <c r="G557" s="28"/>
      <c r="H557" s="66"/>
      <c r="I557" s="66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28"/>
      <c r="G558" s="28"/>
      <c r="H558" s="66"/>
      <c r="I558" s="66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28"/>
      <c r="G559" s="28"/>
      <c r="H559" s="66"/>
      <c r="I559" s="66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28"/>
      <c r="G560" s="28"/>
      <c r="H560" s="66"/>
      <c r="I560" s="66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28"/>
      <c r="G561" s="28"/>
      <c r="H561" s="66"/>
      <c r="I561" s="66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28"/>
      <c r="G562" s="28"/>
      <c r="H562" s="66"/>
      <c r="I562" s="66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28"/>
      <c r="G563" s="28"/>
      <c r="H563" s="66"/>
      <c r="I563" s="66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28"/>
      <c r="G564" s="28"/>
      <c r="H564" s="66"/>
      <c r="I564" s="66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28"/>
      <c r="G565" s="28"/>
      <c r="H565" s="66"/>
      <c r="I565" s="66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28"/>
      <c r="G566" s="28"/>
      <c r="H566" s="66"/>
      <c r="I566" s="66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28"/>
      <c r="G567" s="28"/>
      <c r="H567" s="66"/>
      <c r="I567" s="66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28"/>
      <c r="G568" s="28"/>
      <c r="H568" s="66"/>
      <c r="I568" s="66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28"/>
      <c r="G569" s="28"/>
      <c r="H569" s="66"/>
      <c r="I569" s="66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28"/>
      <c r="G570" s="28"/>
      <c r="H570" s="66"/>
      <c r="I570" s="66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28"/>
      <c r="G571" s="28"/>
      <c r="H571" s="66"/>
      <c r="I571" s="66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28"/>
      <c r="G572" s="28"/>
      <c r="H572" s="66"/>
      <c r="I572" s="66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28"/>
      <c r="G573" s="28"/>
      <c r="H573" s="66"/>
      <c r="I573" s="66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28"/>
      <c r="G574" s="28"/>
      <c r="H574" s="66"/>
      <c r="I574" s="66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28"/>
      <c r="G575" s="28"/>
      <c r="H575" s="66"/>
      <c r="I575" s="66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28"/>
      <c r="G576" s="28"/>
      <c r="H576" s="66"/>
      <c r="I576" s="66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28"/>
      <c r="G577" s="28"/>
      <c r="H577" s="66"/>
      <c r="I577" s="66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28"/>
      <c r="G578" s="28"/>
      <c r="H578" s="66"/>
      <c r="I578" s="66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28"/>
      <c r="G579" s="28"/>
      <c r="H579" s="66"/>
      <c r="I579" s="66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28"/>
      <c r="G580" s="28"/>
      <c r="H580" s="66"/>
      <c r="I580" s="66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28"/>
      <c r="G581" s="28"/>
      <c r="H581" s="66"/>
      <c r="I581" s="66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28"/>
      <c r="G582" s="28"/>
      <c r="H582" s="66"/>
      <c r="I582" s="66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28"/>
      <c r="G583" s="28"/>
      <c r="H583" s="66"/>
      <c r="I583" s="66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28"/>
      <c r="G584" s="28"/>
      <c r="H584" s="66"/>
      <c r="I584" s="66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28"/>
      <c r="G585" s="28"/>
      <c r="H585" s="66"/>
      <c r="I585" s="66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28"/>
      <c r="G586" s="28"/>
      <c r="H586" s="66"/>
      <c r="I586" s="66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28"/>
      <c r="G587" s="28"/>
      <c r="H587" s="66"/>
      <c r="I587" s="66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28"/>
      <c r="G588" s="28"/>
      <c r="H588" s="66"/>
      <c r="I588" s="66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28"/>
      <c r="G589" s="28"/>
      <c r="H589" s="66"/>
      <c r="I589" s="66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28"/>
      <c r="G590" s="28"/>
      <c r="H590" s="66"/>
      <c r="I590" s="66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28"/>
      <c r="G591" s="28"/>
      <c r="H591" s="66"/>
      <c r="I591" s="66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28"/>
      <c r="G592" s="28"/>
      <c r="H592" s="66"/>
      <c r="I592" s="66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28"/>
      <c r="G593" s="28"/>
      <c r="H593" s="66"/>
      <c r="I593" s="66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28"/>
      <c r="G594" s="28"/>
      <c r="H594" s="66"/>
      <c r="I594" s="66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28"/>
      <c r="G595" s="28"/>
      <c r="H595" s="66"/>
      <c r="I595" s="66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28"/>
      <c r="G596" s="28"/>
      <c r="H596" s="66"/>
      <c r="I596" s="66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28"/>
      <c r="G597" s="28"/>
      <c r="H597" s="66"/>
      <c r="I597" s="66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28"/>
      <c r="G598" s="28"/>
      <c r="H598" s="66"/>
      <c r="I598" s="66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28"/>
      <c r="G599" s="28"/>
      <c r="H599" s="66"/>
      <c r="I599" s="66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28"/>
      <c r="G600" s="28"/>
      <c r="H600" s="66"/>
      <c r="I600" s="66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28"/>
      <c r="G601" s="28"/>
      <c r="H601" s="66"/>
      <c r="I601" s="66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28"/>
      <c r="G602" s="28"/>
      <c r="H602" s="66"/>
      <c r="I602" s="66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28"/>
      <c r="G603" s="28"/>
      <c r="H603" s="66"/>
      <c r="I603" s="66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28"/>
      <c r="G604" s="28"/>
      <c r="H604" s="66"/>
      <c r="I604" s="66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28"/>
      <c r="G605" s="28"/>
      <c r="H605" s="66"/>
      <c r="I605" s="66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28"/>
      <c r="G606" s="28"/>
      <c r="H606" s="66"/>
      <c r="I606" s="66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28"/>
      <c r="G607" s="28"/>
      <c r="H607" s="66"/>
      <c r="I607" s="66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28"/>
      <c r="G608" s="28"/>
      <c r="H608" s="66"/>
      <c r="I608" s="66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28"/>
      <c r="G609" s="28"/>
      <c r="H609" s="66"/>
      <c r="I609" s="66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28"/>
      <c r="G610" s="28"/>
      <c r="H610" s="66"/>
      <c r="I610" s="66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28"/>
      <c r="G611" s="28"/>
      <c r="H611" s="66"/>
      <c r="I611" s="66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28"/>
      <c r="G612" s="28"/>
      <c r="H612" s="66"/>
      <c r="I612" s="66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28"/>
      <c r="G613" s="28"/>
      <c r="H613" s="66"/>
      <c r="I613" s="66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28"/>
      <c r="G614" s="28"/>
      <c r="H614" s="66"/>
      <c r="I614" s="66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28"/>
      <c r="G615" s="28"/>
      <c r="H615" s="66"/>
      <c r="I615" s="66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28"/>
      <c r="G616" s="28"/>
      <c r="H616" s="66"/>
      <c r="I616" s="66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28"/>
      <c r="G617" s="28"/>
      <c r="H617" s="66"/>
      <c r="I617" s="66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28"/>
      <c r="G618" s="28"/>
      <c r="H618" s="66"/>
      <c r="I618" s="66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28"/>
      <c r="G619" s="28"/>
      <c r="H619" s="66"/>
      <c r="I619" s="66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28"/>
      <c r="G620" s="28"/>
      <c r="H620" s="66"/>
      <c r="I620" s="66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28"/>
      <c r="G621" s="28"/>
      <c r="H621" s="66"/>
      <c r="I621" s="66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28"/>
      <c r="G622" s="28"/>
      <c r="H622" s="66"/>
      <c r="I622" s="66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28"/>
      <c r="G623" s="28"/>
      <c r="H623" s="66"/>
      <c r="I623" s="66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28"/>
      <c r="G624" s="28"/>
      <c r="H624" s="66"/>
      <c r="I624" s="66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28"/>
      <c r="G625" s="28"/>
      <c r="H625" s="66"/>
      <c r="I625" s="66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28"/>
      <c r="G626" s="28"/>
      <c r="H626" s="66"/>
      <c r="I626" s="66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28"/>
      <c r="G627" s="28"/>
      <c r="H627" s="66"/>
      <c r="I627" s="66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28"/>
      <c r="G628" s="28"/>
      <c r="H628" s="66"/>
      <c r="I628" s="66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28"/>
      <c r="G629" s="28"/>
      <c r="H629" s="66"/>
      <c r="I629" s="66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28"/>
      <c r="G630" s="28"/>
      <c r="H630" s="66"/>
      <c r="I630" s="66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28"/>
      <c r="G631" s="28"/>
      <c r="H631" s="66"/>
      <c r="I631" s="66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28"/>
      <c r="G632" s="28"/>
      <c r="H632" s="66"/>
      <c r="I632" s="66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28"/>
      <c r="G633" s="28"/>
      <c r="H633" s="66"/>
      <c r="I633" s="66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28"/>
      <c r="G634" s="28"/>
      <c r="H634" s="66"/>
      <c r="I634" s="66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28"/>
      <c r="G635" s="28"/>
      <c r="H635" s="66"/>
      <c r="I635" s="66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28"/>
      <c r="G636" s="28"/>
      <c r="H636" s="66"/>
      <c r="I636" s="66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28"/>
      <c r="G637" s="28"/>
      <c r="H637" s="66"/>
      <c r="I637" s="66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28"/>
      <c r="G638" s="28"/>
      <c r="H638" s="66"/>
      <c r="I638" s="66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28"/>
      <c r="G639" s="28"/>
      <c r="H639" s="66"/>
      <c r="I639" s="66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28"/>
      <c r="G640" s="28"/>
      <c r="H640" s="66"/>
      <c r="I640" s="66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28"/>
      <c r="G641" s="28"/>
      <c r="H641" s="66"/>
      <c r="I641" s="66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28"/>
      <c r="G642" s="28"/>
      <c r="H642" s="66"/>
      <c r="I642" s="66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28"/>
      <c r="G643" s="28"/>
      <c r="H643" s="66"/>
      <c r="I643" s="66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28"/>
      <c r="G644" s="28"/>
      <c r="H644" s="66"/>
      <c r="I644" s="66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28"/>
      <c r="G645" s="28"/>
      <c r="H645" s="66"/>
      <c r="I645" s="66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28"/>
      <c r="G646" s="28"/>
      <c r="H646" s="66"/>
      <c r="I646" s="66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28"/>
      <c r="G647" s="28"/>
      <c r="H647" s="66"/>
      <c r="I647" s="66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28"/>
      <c r="G648" s="28"/>
      <c r="H648" s="66"/>
      <c r="I648" s="66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28"/>
      <c r="G649" s="28"/>
      <c r="H649" s="66"/>
      <c r="I649" s="66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28"/>
      <c r="G650" s="28"/>
      <c r="H650" s="66"/>
      <c r="I650" s="66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28"/>
      <c r="G651" s="28"/>
      <c r="H651" s="66"/>
      <c r="I651" s="66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28"/>
      <c r="G652" s="28"/>
      <c r="H652" s="66"/>
      <c r="I652" s="66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28"/>
      <c r="G653" s="28"/>
      <c r="H653" s="66"/>
      <c r="I653" s="66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28"/>
      <c r="G654" s="28"/>
      <c r="H654" s="66"/>
      <c r="I654" s="66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28"/>
      <c r="G655" s="28"/>
      <c r="H655" s="66"/>
      <c r="I655" s="66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28"/>
      <c r="G656" s="28"/>
      <c r="H656" s="66"/>
      <c r="I656" s="66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28"/>
      <c r="G657" s="28"/>
      <c r="H657" s="66"/>
      <c r="I657" s="66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28"/>
      <c r="G658" s="28"/>
      <c r="H658" s="66"/>
      <c r="I658" s="66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28"/>
      <c r="G659" s="28"/>
      <c r="H659" s="66"/>
      <c r="I659" s="66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28"/>
      <c r="G660" s="28"/>
      <c r="H660" s="66"/>
      <c r="I660" s="66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28"/>
      <c r="G661" s="28"/>
      <c r="H661" s="66"/>
      <c r="I661" s="66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28"/>
      <c r="G662" s="28"/>
      <c r="H662" s="66"/>
      <c r="I662" s="66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28"/>
      <c r="G663" s="28"/>
      <c r="H663" s="66"/>
      <c r="I663" s="66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28"/>
      <c r="G664" s="28"/>
      <c r="H664" s="66"/>
      <c r="I664" s="66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28"/>
      <c r="G665" s="28"/>
      <c r="H665" s="66"/>
      <c r="I665" s="66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28"/>
      <c r="G666" s="28"/>
      <c r="H666" s="66"/>
      <c r="I666" s="66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28"/>
      <c r="G667" s="28"/>
      <c r="H667" s="66"/>
      <c r="I667" s="66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28"/>
      <c r="G668" s="28"/>
      <c r="H668" s="66"/>
      <c r="I668" s="66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28"/>
      <c r="G669" s="28"/>
      <c r="H669" s="66"/>
      <c r="I669" s="66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28"/>
      <c r="G670" s="28"/>
      <c r="H670" s="66"/>
      <c r="I670" s="66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28"/>
      <c r="G671" s="28"/>
      <c r="H671" s="66"/>
      <c r="I671" s="66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28"/>
      <c r="G672" s="28"/>
      <c r="H672" s="66"/>
      <c r="I672" s="66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28"/>
      <c r="G673" s="28"/>
      <c r="H673" s="66"/>
      <c r="I673" s="66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28"/>
      <c r="G674" s="28"/>
      <c r="H674" s="66"/>
      <c r="I674" s="66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28"/>
      <c r="G675" s="28"/>
      <c r="H675" s="66"/>
      <c r="I675" s="66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28"/>
      <c r="G676" s="28"/>
      <c r="H676" s="66"/>
      <c r="I676" s="66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28"/>
      <c r="G677" s="28"/>
      <c r="H677" s="66"/>
      <c r="I677" s="66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28"/>
      <c r="G678" s="28"/>
      <c r="H678" s="66"/>
      <c r="I678" s="66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28"/>
      <c r="G679" s="28"/>
      <c r="H679" s="66"/>
      <c r="I679" s="66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28"/>
      <c r="G680" s="28"/>
      <c r="H680" s="66"/>
      <c r="I680" s="66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28"/>
      <c r="G681" s="28"/>
      <c r="H681" s="66"/>
      <c r="I681" s="66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28"/>
      <c r="G682" s="28"/>
      <c r="H682" s="66"/>
      <c r="I682" s="66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28"/>
      <c r="G683" s="28"/>
      <c r="H683" s="66"/>
      <c r="I683" s="66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28"/>
      <c r="G684" s="28"/>
      <c r="H684" s="66"/>
      <c r="I684" s="66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28"/>
      <c r="G685" s="28"/>
      <c r="H685" s="66"/>
      <c r="I685" s="66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28"/>
      <c r="G686" s="28"/>
      <c r="H686" s="66"/>
      <c r="I686" s="66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28"/>
      <c r="G687" s="28"/>
      <c r="H687" s="66"/>
      <c r="I687" s="66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28"/>
      <c r="G688" s="28"/>
      <c r="H688" s="66"/>
      <c r="I688" s="66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28"/>
      <c r="G689" s="28"/>
      <c r="H689" s="66"/>
      <c r="I689" s="66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28"/>
      <c r="G690" s="28"/>
      <c r="H690" s="66"/>
      <c r="I690" s="66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28"/>
      <c r="G691" s="28"/>
      <c r="H691" s="66"/>
      <c r="I691" s="66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28"/>
      <c r="G692" s="28"/>
      <c r="H692" s="66"/>
      <c r="I692" s="66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28"/>
      <c r="G693" s="28"/>
      <c r="H693" s="66"/>
      <c r="I693" s="66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28"/>
      <c r="G694" s="28"/>
      <c r="H694" s="66"/>
      <c r="I694" s="66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28"/>
      <c r="G695" s="28"/>
      <c r="H695" s="66"/>
      <c r="I695" s="66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28"/>
      <c r="G696" s="28"/>
      <c r="H696" s="66"/>
      <c r="I696" s="66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28"/>
      <c r="G697" s="28"/>
      <c r="H697" s="66"/>
      <c r="I697" s="66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28"/>
      <c r="G698" s="28"/>
      <c r="H698" s="66"/>
      <c r="I698" s="66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28"/>
      <c r="G699" s="28"/>
      <c r="H699" s="66"/>
      <c r="I699" s="66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28"/>
      <c r="G700" s="28"/>
      <c r="H700" s="66"/>
      <c r="I700" s="66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28"/>
      <c r="G701" s="28"/>
      <c r="H701" s="66"/>
      <c r="I701" s="66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28"/>
      <c r="G702" s="28"/>
      <c r="H702" s="66"/>
      <c r="I702" s="66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28"/>
      <c r="G703" s="28"/>
      <c r="H703" s="66"/>
      <c r="I703" s="66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28"/>
      <c r="G704" s="28"/>
      <c r="H704" s="66"/>
      <c r="I704" s="66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28"/>
      <c r="G705" s="28"/>
      <c r="H705" s="66"/>
      <c r="I705" s="66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28"/>
      <c r="G706" s="28"/>
      <c r="H706" s="66"/>
      <c r="I706" s="66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28"/>
      <c r="G707" s="28"/>
      <c r="H707" s="66"/>
      <c r="I707" s="66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28"/>
      <c r="G708" s="28"/>
      <c r="H708" s="66"/>
      <c r="I708" s="66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28"/>
      <c r="G709" s="28"/>
      <c r="H709" s="66"/>
      <c r="I709" s="66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28"/>
      <c r="G710" s="28"/>
      <c r="H710" s="66"/>
      <c r="I710" s="66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28"/>
      <c r="G711" s="28"/>
      <c r="H711" s="66"/>
      <c r="I711" s="66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28"/>
      <c r="G712" s="28"/>
      <c r="H712" s="66"/>
      <c r="I712" s="66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28"/>
      <c r="G713" s="28"/>
      <c r="H713" s="66"/>
      <c r="I713" s="66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28"/>
      <c r="G714" s="28"/>
      <c r="H714" s="66"/>
      <c r="I714" s="66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28"/>
      <c r="G715" s="28"/>
      <c r="H715" s="66"/>
      <c r="I715" s="66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28"/>
      <c r="G716" s="28"/>
      <c r="H716" s="66"/>
      <c r="I716" s="66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28"/>
      <c r="G717" s="28"/>
      <c r="H717" s="66"/>
      <c r="I717" s="66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28"/>
      <c r="G718" s="28"/>
      <c r="H718" s="66"/>
      <c r="I718" s="66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28"/>
      <c r="G719" s="28"/>
      <c r="H719" s="66"/>
      <c r="I719" s="66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28"/>
      <c r="G720" s="28"/>
      <c r="H720" s="66"/>
      <c r="I720" s="66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28"/>
      <c r="G721" s="28"/>
      <c r="H721" s="66"/>
      <c r="I721" s="66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28"/>
      <c r="G722" s="28"/>
      <c r="H722" s="66"/>
      <c r="I722" s="66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28"/>
      <c r="G723" s="28"/>
      <c r="H723" s="66"/>
      <c r="I723" s="66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28"/>
      <c r="G724" s="28"/>
      <c r="H724" s="66"/>
      <c r="I724" s="66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28"/>
      <c r="G725" s="28"/>
      <c r="H725" s="66"/>
      <c r="I725" s="66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28"/>
      <c r="G726" s="28"/>
      <c r="H726" s="66"/>
      <c r="I726" s="66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28"/>
      <c r="G727" s="28"/>
      <c r="H727" s="66"/>
      <c r="I727" s="66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28"/>
      <c r="G728" s="28"/>
      <c r="H728" s="66"/>
      <c r="I728" s="66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28"/>
      <c r="G729" s="28"/>
      <c r="H729" s="66"/>
      <c r="I729" s="66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28"/>
      <c r="G730" s="28"/>
      <c r="H730" s="66"/>
      <c r="I730" s="66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28"/>
      <c r="G731" s="28"/>
      <c r="H731" s="66"/>
      <c r="I731" s="66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28"/>
      <c r="G732" s="28"/>
      <c r="H732" s="66"/>
      <c r="I732" s="66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28"/>
      <c r="G733" s="28"/>
      <c r="H733" s="66"/>
      <c r="I733" s="66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28"/>
      <c r="G734" s="28"/>
      <c r="H734" s="66"/>
      <c r="I734" s="66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28"/>
      <c r="G735" s="28"/>
      <c r="H735" s="66"/>
      <c r="I735" s="66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28"/>
      <c r="G736" s="28"/>
      <c r="H736" s="66"/>
      <c r="I736" s="66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28"/>
      <c r="G737" s="28"/>
      <c r="H737" s="66"/>
      <c r="I737" s="66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28"/>
      <c r="G738" s="28"/>
      <c r="H738" s="66"/>
      <c r="I738" s="66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28"/>
      <c r="G739" s="28"/>
      <c r="H739" s="66"/>
      <c r="I739" s="66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28"/>
      <c r="G740" s="28"/>
      <c r="H740" s="66"/>
      <c r="I740" s="66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28"/>
      <c r="G741" s="28"/>
      <c r="H741" s="66"/>
      <c r="I741" s="66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28"/>
      <c r="G742" s="28"/>
      <c r="H742" s="66"/>
      <c r="I742" s="66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28"/>
      <c r="G743" s="28"/>
      <c r="H743" s="66"/>
      <c r="I743" s="66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28"/>
      <c r="G744" s="28"/>
      <c r="H744" s="66"/>
      <c r="I744" s="66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28"/>
      <c r="G745" s="28"/>
      <c r="H745" s="66"/>
      <c r="I745" s="66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28"/>
      <c r="G746" s="28"/>
      <c r="H746" s="66"/>
      <c r="I746" s="66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28"/>
      <c r="G747" s="28"/>
      <c r="H747" s="66"/>
      <c r="I747" s="66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28"/>
      <c r="G748" s="28"/>
      <c r="H748" s="66"/>
      <c r="I748" s="66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28"/>
      <c r="G749" s="28"/>
      <c r="H749" s="66"/>
      <c r="I749" s="66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28"/>
      <c r="G750" s="28"/>
      <c r="H750" s="66"/>
      <c r="I750" s="66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28"/>
      <c r="G751" s="28"/>
      <c r="H751" s="66"/>
      <c r="I751" s="66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28"/>
      <c r="G752" s="28"/>
      <c r="H752" s="66"/>
      <c r="I752" s="66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28"/>
      <c r="G753" s="28"/>
      <c r="H753" s="66"/>
      <c r="I753" s="66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28"/>
      <c r="G754" s="28"/>
      <c r="H754" s="66"/>
      <c r="I754" s="66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28"/>
      <c r="G755" s="28"/>
      <c r="H755" s="66"/>
      <c r="I755" s="66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28"/>
      <c r="G756" s="28"/>
      <c r="H756" s="66"/>
      <c r="I756" s="66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28"/>
      <c r="G757" s="28"/>
      <c r="H757" s="66"/>
      <c r="I757" s="66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28"/>
      <c r="G758" s="28"/>
      <c r="H758" s="66"/>
      <c r="I758" s="66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28"/>
      <c r="G759" s="28"/>
      <c r="H759" s="66"/>
      <c r="I759" s="66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28"/>
      <c r="G760" s="28"/>
      <c r="H760" s="66"/>
      <c r="I760" s="66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28"/>
      <c r="G761" s="28"/>
      <c r="H761" s="66"/>
      <c r="I761" s="66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28"/>
      <c r="G762" s="28"/>
      <c r="H762" s="66"/>
      <c r="I762" s="66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28"/>
      <c r="G763" s="28"/>
      <c r="H763" s="66"/>
      <c r="I763" s="66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28"/>
      <c r="G764" s="28"/>
      <c r="H764" s="66"/>
      <c r="I764" s="66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28"/>
      <c r="G765" s="28"/>
      <c r="H765" s="66"/>
      <c r="I765" s="66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28"/>
      <c r="G766" s="28"/>
      <c r="H766" s="66"/>
      <c r="I766" s="66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28"/>
      <c r="G767" s="28"/>
      <c r="H767" s="66"/>
      <c r="I767" s="66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28"/>
      <c r="G768" s="28"/>
      <c r="H768" s="66"/>
      <c r="I768" s="66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28"/>
      <c r="G769" s="28"/>
      <c r="H769" s="66"/>
      <c r="I769" s="66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28"/>
      <c r="G770" s="28"/>
      <c r="H770" s="66"/>
      <c r="I770" s="66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28"/>
      <c r="G771" s="28"/>
      <c r="H771" s="66"/>
      <c r="I771" s="66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28"/>
      <c r="G772" s="28"/>
      <c r="H772" s="66"/>
      <c r="I772" s="66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28"/>
      <c r="G773" s="28"/>
      <c r="H773" s="66"/>
      <c r="I773" s="66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28"/>
      <c r="G774" s="28"/>
      <c r="H774" s="66"/>
      <c r="I774" s="66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28"/>
      <c r="G775" s="28"/>
      <c r="H775" s="66"/>
      <c r="I775" s="66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28"/>
      <c r="G776" s="28"/>
      <c r="H776" s="66"/>
      <c r="I776" s="66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28"/>
      <c r="G777" s="28"/>
      <c r="H777" s="66"/>
      <c r="I777" s="66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28"/>
      <c r="G778" s="28"/>
      <c r="H778" s="66"/>
      <c r="I778" s="66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28"/>
      <c r="G779" s="28"/>
      <c r="H779" s="66"/>
      <c r="I779" s="66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28"/>
      <c r="G780" s="28"/>
      <c r="H780" s="66"/>
      <c r="I780" s="66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28"/>
      <c r="G781" s="28"/>
      <c r="H781" s="66"/>
      <c r="I781" s="66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28"/>
      <c r="G782" s="28"/>
      <c r="H782" s="66"/>
      <c r="I782" s="66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28"/>
      <c r="G783" s="28"/>
      <c r="H783" s="66"/>
      <c r="I783" s="66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28"/>
      <c r="G784" s="28"/>
      <c r="H784" s="66"/>
      <c r="I784" s="66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28"/>
      <c r="G785" s="28"/>
      <c r="H785" s="66"/>
      <c r="I785" s="66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28"/>
      <c r="G786" s="28"/>
      <c r="H786" s="66"/>
      <c r="I786" s="66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28"/>
      <c r="G787" s="28"/>
      <c r="H787" s="66"/>
      <c r="I787" s="66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28"/>
      <c r="G788" s="28"/>
      <c r="H788" s="66"/>
      <c r="I788" s="66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28"/>
      <c r="G789" s="28"/>
      <c r="H789" s="66"/>
      <c r="I789" s="66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28"/>
      <c r="G790" s="28"/>
      <c r="H790" s="66"/>
      <c r="I790" s="66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28"/>
      <c r="G791" s="28"/>
      <c r="H791" s="66"/>
      <c r="I791" s="66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28"/>
      <c r="G792" s="28"/>
      <c r="H792" s="66"/>
      <c r="I792" s="66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28"/>
      <c r="G793" s="28"/>
      <c r="H793" s="66"/>
      <c r="I793" s="66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28"/>
      <c r="G794" s="28"/>
      <c r="H794" s="66"/>
      <c r="I794" s="66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28"/>
      <c r="G795" s="28"/>
      <c r="H795" s="66"/>
      <c r="I795" s="66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28"/>
      <c r="G796" s="28"/>
      <c r="H796" s="66"/>
      <c r="I796" s="66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28"/>
      <c r="G797" s="28"/>
      <c r="H797" s="66"/>
      <c r="I797" s="66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28"/>
      <c r="G798" s="28"/>
      <c r="H798" s="66"/>
      <c r="I798" s="66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28"/>
      <c r="G799" s="28"/>
      <c r="H799" s="66"/>
      <c r="I799" s="66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28"/>
      <c r="G800" s="28"/>
      <c r="H800" s="66"/>
      <c r="I800" s="66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28"/>
      <c r="G801" s="28"/>
      <c r="H801" s="66"/>
      <c r="I801" s="66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28"/>
      <c r="G802" s="28"/>
      <c r="H802" s="66"/>
      <c r="I802" s="66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28"/>
      <c r="G803" s="28"/>
      <c r="H803" s="66"/>
      <c r="I803" s="66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28"/>
      <c r="G804" s="28"/>
      <c r="H804" s="66"/>
      <c r="I804" s="66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28"/>
      <c r="G805" s="28"/>
      <c r="H805" s="66"/>
      <c r="I805" s="66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28"/>
      <c r="G806" s="28"/>
      <c r="H806" s="66"/>
      <c r="I806" s="66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28"/>
      <c r="G807" s="28"/>
      <c r="H807" s="66"/>
      <c r="I807" s="66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28"/>
      <c r="G808" s="28"/>
      <c r="H808" s="66"/>
      <c r="I808" s="66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28"/>
      <c r="G809" s="28"/>
      <c r="H809" s="66"/>
      <c r="I809" s="66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28"/>
      <c r="G810" s="28"/>
      <c r="H810" s="66"/>
      <c r="I810" s="66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28"/>
      <c r="G811" s="28"/>
      <c r="H811" s="66"/>
      <c r="I811" s="66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28"/>
      <c r="G812" s="28"/>
      <c r="H812" s="66"/>
      <c r="I812" s="66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28"/>
      <c r="G813" s="28"/>
      <c r="H813" s="66"/>
      <c r="I813" s="66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28"/>
      <c r="G814" s="28"/>
      <c r="H814" s="66"/>
      <c r="I814" s="66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28"/>
      <c r="G815" s="28"/>
      <c r="H815" s="66"/>
      <c r="I815" s="66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28"/>
      <c r="G816" s="28"/>
      <c r="H816" s="66"/>
      <c r="I816" s="66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28"/>
      <c r="G817" s="28"/>
      <c r="H817" s="66"/>
      <c r="I817" s="66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28"/>
      <c r="G818" s="28"/>
      <c r="H818" s="66"/>
      <c r="I818" s="66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28"/>
      <c r="G819" s="28"/>
      <c r="H819" s="66"/>
      <c r="I819" s="66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28"/>
      <c r="G820" s="28"/>
      <c r="H820" s="66"/>
      <c r="I820" s="66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28"/>
      <c r="G821" s="28"/>
      <c r="H821" s="66"/>
      <c r="I821" s="66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28"/>
      <c r="G822" s="28"/>
      <c r="H822" s="66"/>
      <c r="I822" s="66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28"/>
      <c r="G823" s="28"/>
      <c r="H823" s="66"/>
      <c r="I823" s="66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28"/>
      <c r="G824" s="28"/>
      <c r="H824" s="66"/>
      <c r="I824" s="66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28"/>
      <c r="G825" s="28"/>
      <c r="H825" s="66"/>
      <c r="I825" s="66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28"/>
      <c r="G826" s="28"/>
      <c r="H826" s="66"/>
      <c r="I826" s="66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28"/>
      <c r="G827" s="28"/>
      <c r="H827" s="66"/>
      <c r="I827" s="66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28"/>
      <c r="G828" s="28"/>
      <c r="H828" s="66"/>
      <c r="I828" s="66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28"/>
      <c r="G829" s="28"/>
      <c r="H829" s="66"/>
      <c r="I829" s="66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28"/>
      <c r="G830" s="28"/>
      <c r="H830" s="66"/>
      <c r="I830" s="66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28"/>
      <c r="G831" s="28"/>
      <c r="H831" s="66"/>
      <c r="I831" s="66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28"/>
      <c r="G832" s="28"/>
      <c r="H832" s="66"/>
      <c r="I832" s="66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28"/>
      <c r="G833" s="28"/>
      <c r="H833" s="66"/>
      <c r="I833" s="66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28"/>
      <c r="G834" s="28"/>
      <c r="H834" s="66"/>
      <c r="I834" s="66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28"/>
      <c r="G835" s="28"/>
      <c r="H835" s="66"/>
      <c r="I835" s="66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28"/>
      <c r="G836" s="28"/>
      <c r="H836" s="66"/>
      <c r="I836" s="66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28"/>
      <c r="G837" s="28"/>
      <c r="H837" s="66"/>
      <c r="I837" s="66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28"/>
      <c r="G838" s="28"/>
      <c r="H838" s="66"/>
      <c r="I838" s="66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28"/>
      <c r="G839" s="28"/>
      <c r="H839" s="66"/>
      <c r="I839" s="66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28"/>
      <c r="G840" s="28"/>
      <c r="H840" s="66"/>
      <c r="I840" s="66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28"/>
      <c r="G841" s="28"/>
      <c r="H841" s="66"/>
      <c r="I841" s="66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28"/>
      <c r="G842" s="28"/>
      <c r="H842" s="66"/>
      <c r="I842" s="66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28"/>
      <c r="G843" s="28"/>
      <c r="H843" s="66"/>
      <c r="I843" s="66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28"/>
      <c r="G844" s="28"/>
      <c r="H844" s="66"/>
      <c r="I844" s="66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28"/>
      <c r="G845" s="28"/>
      <c r="H845" s="66"/>
      <c r="I845" s="66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28"/>
      <c r="G846" s="28"/>
      <c r="H846" s="66"/>
      <c r="I846" s="66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28"/>
      <c r="G847" s="28"/>
      <c r="H847" s="66"/>
      <c r="I847" s="66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28"/>
      <c r="G848" s="28"/>
      <c r="H848" s="66"/>
      <c r="I848" s="66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28"/>
      <c r="G849" s="28"/>
      <c r="H849" s="66"/>
      <c r="I849" s="66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28"/>
      <c r="G850" s="28"/>
      <c r="H850" s="66"/>
      <c r="I850" s="66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28"/>
      <c r="G851" s="28"/>
      <c r="H851" s="66"/>
      <c r="I851" s="66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28"/>
      <c r="G852" s="28"/>
      <c r="H852" s="66"/>
      <c r="I852" s="66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28"/>
      <c r="G853" s="28"/>
      <c r="H853" s="66"/>
      <c r="I853" s="66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28"/>
      <c r="G854" s="28"/>
      <c r="H854" s="66"/>
      <c r="I854" s="66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28"/>
      <c r="G855" s="28"/>
      <c r="H855" s="66"/>
      <c r="I855" s="66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28"/>
      <c r="G856" s="28"/>
      <c r="H856" s="66"/>
      <c r="I856" s="66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28"/>
      <c r="G857" s="28"/>
      <c r="H857" s="66"/>
      <c r="I857" s="66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28"/>
      <c r="G858" s="28"/>
      <c r="H858" s="66"/>
      <c r="I858" s="66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28"/>
      <c r="G859" s="28"/>
      <c r="H859" s="66"/>
      <c r="I859" s="66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28"/>
      <c r="G860" s="28"/>
      <c r="H860" s="66"/>
      <c r="I860" s="66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28"/>
      <c r="G861" s="28"/>
      <c r="H861" s="66"/>
      <c r="I861" s="66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28"/>
      <c r="G862" s="28"/>
      <c r="H862" s="66"/>
      <c r="I862" s="66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28"/>
      <c r="G863" s="28"/>
      <c r="H863" s="66"/>
      <c r="I863" s="66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28"/>
      <c r="G864" s="28"/>
      <c r="H864" s="66"/>
      <c r="I864" s="66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28"/>
      <c r="G865" s="28"/>
      <c r="H865" s="66"/>
      <c r="I865" s="66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28"/>
      <c r="G866" s="28"/>
      <c r="H866" s="66"/>
      <c r="I866" s="66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28"/>
      <c r="G867" s="28"/>
      <c r="H867" s="66"/>
      <c r="I867" s="66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28"/>
      <c r="G868" s="28"/>
      <c r="H868" s="66"/>
      <c r="I868" s="66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28"/>
      <c r="G869" s="28"/>
      <c r="H869" s="66"/>
      <c r="I869" s="66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28"/>
      <c r="G870" s="28"/>
      <c r="H870" s="66"/>
      <c r="I870" s="66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28"/>
      <c r="G871" s="28"/>
      <c r="H871" s="66"/>
      <c r="I871" s="66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28"/>
      <c r="G872" s="28"/>
      <c r="H872" s="66"/>
      <c r="I872" s="66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28"/>
      <c r="G873" s="28"/>
      <c r="H873" s="66"/>
      <c r="I873" s="66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28"/>
      <c r="G874" s="28"/>
      <c r="H874" s="66"/>
      <c r="I874" s="66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28"/>
      <c r="G875" s="28"/>
      <c r="H875" s="66"/>
      <c r="I875" s="66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28"/>
      <c r="G876" s="28"/>
      <c r="H876" s="66"/>
      <c r="I876" s="66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28"/>
      <c r="G877" s="28"/>
      <c r="H877" s="66"/>
      <c r="I877" s="66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28"/>
      <c r="G878" s="28"/>
      <c r="H878" s="66"/>
      <c r="I878" s="66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28"/>
      <c r="G879" s="28"/>
      <c r="H879" s="66"/>
      <c r="I879" s="66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28"/>
      <c r="G880" s="28"/>
      <c r="H880" s="66"/>
      <c r="I880" s="66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28"/>
      <c r="G881" s="28"/>
      <c r="H881" s="66"/>
      <c r="I881" s="66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28"/>
      <c r="G882" s="28"/>
      <c r="H882" s="66"/>
      <c r="I882" s="66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28"/>
      <c r="G883" s="28"/>
      <c r="H883" s="66"/>
      <c r="I883" s="66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28"/>
      <c r="G884" s="28"/>
      <c r="H884" s="66"/>
      <c r="I884" s="66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28"/>
      <c r="G885" s="28"/>
      <c r="H885" s="66"/>
      <c r="I885" s="66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28"/>
      <c r="G886" s="28"/>
      <c r="H886" s="66"/>
      <c r="I886" s="66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28"/>
      <c r="G887" s="28"/>
      <c r="H887" s="66"/>
      <c r="I887" s="66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28"/>
      <c r="G888" s="28"/>
      <c r="H888" s="66"/>
      <c r="I888" s="66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28"/>
      <c r="G889" s="28"/>
      <c r="H889" s="66"/>
      <c r="I889" s="66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28"/>
      <c r="G890" s="28"/>
      <c r="H890" s="66"/>
      <c r="I890" s="66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28"/>
      <c r="G891" s="28"/>
      <c r="H891" s="66"/>
      <c r="I891" s="66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28"/>
      <c r="G892" s="28"/>
      <c r="H892" s="66"/>
      <c r="I892" s="66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28"/>
      <c r="G893" s="28"/>
      <c r="H893" s="66"/>
      <c r="I893" s="66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28"/>
      <c r="G894" s="28"/>
      <c r="H894" s="66"/>
      <c r="I894" s="66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28"/>
      <c r="G895" s="28"/>
      <c r="H895" s="66"/>
      <c r="I895" s="66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28"/>
      <c r="G896" s="28"/>
      <c r="H896" s="66"/>
      <c r="I896" s="66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28"/>
      <c r="G897" s="28"/>
      <c r="H897" s="66"/>
      <c r="I897" s="66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28"/>
      <c r="G898" s="28"/>
      <c r="H898" s="66"/>
      <c r="I898" s="66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28"/>
      <c r="G899" s="28"/>
      <c r="H899" s="66"/>
      <c r="I899" s="66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28"/>
      <c r="G900" s="28"/>
      <c r="H900" s="66"/>
      <c r="I900" s="66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28"/>
      <c r="G901" s="28"/>
      <c r="H901" s="66"/>
      <c r="I901" s="66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28"/>
      <c r="G902" s="28"/>
      <c r="H902" s="66"/>
      <c r="I902" s="66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28"/>
      <c r="G903" s="28"/>
      <c r="H903" s="66"/>
      <c r="I903" s="66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28"/>
      <c r="G904" s="28"/>
      <c r="H904" s="66"/>
      <c r="I904" s="66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28"/>
      <c r="G905" s="28"/>
      <c r="H905" s="66"/>
      <c r="I905" s="66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28"/>
      <c r="G906" s="28"/>
      <c r="H906" s="66"/>
      <c r="I906" s="66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28"/>
      <c r="G907" s="28"/>
      <c r="H907" s="66"/>
      <c r="I907" s="66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28"/>
      <c r="G908" s="28"/>
      <c r="H908" s="66"/>
      <c r="I908" s="66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28"/>
      <c r="G909" s="28"/>
      <c r="H909" s="66"/>
      <c r="I909" s="66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28"/>
      <c r="G910" s="28"/>
      <c r="H910" s="66"/>
      <c r="I910" s="66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28"/>
      <c r="G911" s="28"/>
      <c r="H911" s="66"/>
      <c r="I911" s="66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28"/>
      <c r="G912" s="28"/>
      <c r="H912" s="66"/>
      <c r="I912" s="66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28"/>
      <c r="G913" s="28"/>
      <c r="H913" s="66"/>
      <c r="I913" s="66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28"/>
      <c r="G914" s="28"/>
      <c r="H914" s="66"/>
      <c r="I914" s="66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28"/>
      <c r="G915" s="28"/>
      <c r="H915" s="66"/>
      <c r="I915" s="66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28"/>
      <c r="G916" s="28"/>
      <c r="H916" s="66"/>
      <c r="I916" s="66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28"/>
      <c r="G917" s="28"/>
      <c r="H917" s="66"/>
      <c r="I917" s="66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28"/>
      <c r="G918" s="28"/>
      <c r="H918" s="66"/>
      <c r="I918" s="66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28"/>
      <c r="G919" s="28"/>
      <c r="H919" s="66"/>
      <c r="I919" s="66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28"/>
      <c r="G920" s="28"/>
      <c r="H920" s="66"/>
      <c r="I920" s="66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28"/>
      <c r="G921" s="28"/>
      <c r="H921" s="66"/>
      <c r="I921" s="66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28"/>
      <c r="G922" s="28"/>
      <c r="H922" s="66"/>
      <c r="I922" s="66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28"/>
      <c r="G923" s="28"/>
      <c r="H923" s="66"/>
      <c r="I923" s="66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28"/>
      <c r="G924" s="28"/>
      <c r="H924" s="66"/>
      <c r="I924" s="66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28"/>
      <c r="G925" s="28"/>
      <c r="H925" s="66"/>
      <c r="I925" s="66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28"/>
      <c r="G926" s="28"/>
      <c r="H926" s="66"/>
      <c r="I926" s="66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28"/>
      <c r="G927" s="28"/>
      <c r="H927" s="66"/>
      <c r="I927" s="66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28"/>
      <c r="G928" s="28"/>
      <c r="H928" s="66"/>
      <c r="I928" s="66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28"/>
      <c r="G929" s="28"/>
      <c r="H929" s="66"/>
      <c r="I929" s="66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28"/>
      <c r="G930" s="28"/>
      <c r="H930" s="66"/>
      <c r="I930" s="66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28"/>
      <c r="G931" s="28"/>
      <c r="H931" s="66"/>
      <c r="I931" s="66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28"/>
      <c r="G932" s="28"/>
      <c r="H932" s="66"/>
      <c r="I932" s="66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28"/>
      <c r="G933" s="28"/>
      <c r="H933" s="66"/>
      <c r="I933" s="66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28"/>
      <c r="G934" s="28"/>
      <c r="H934" s="66"/>
      <c r="I934" s="66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28"/>
      <c r="G935" s="28"/>
      <c r="H935" s="66"/>
      <c r="I935" s="66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28"/>
      <c r="G936" s="28"/>
      <c r="H936" s="66"/>
      <c r="I936" s="66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28"/>
      <c r="G937" s="28"/>
      <c r="H937" s="66"/>
      <c r="I937" s="66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28"/>
      <c r="G938" s="28"/>
      <c r="H938" s="66"/>
      <c r="I938" s="66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28"/>
      <c r="G939" s="28"/>
      <c r="H939" s="66"/>
      <c r="I939" s="66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28"/>
      <c r="G940" s="28"/>
      <c r="H940" s="66"/>
      <c r="I940" s="66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28"/>
      <c r="G941" s="28"/>
      <c r="H941" s="66"/>
      <c r="I941" s="66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28"/>
      <c r="G942" s="28"/>
      <c r="H942" s="66"/>
      <c r="I942" s="66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28"/>
      <c r="G943" s="28"/>
      <c r="H943" s="66"/>
      <c r="I943" s="66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28"/>
      <c r="G944" s="28"/>
      <c r="H944" s="66"/>
      <c r="I944" s="66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28"/>
      <c r="G945" s="28"/>
      <c r="H945" s="66"/>
      <c r="I945" s="66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28"/>
      <c r="G946" s="28"/>
      <c r="H946" s="66"/>
      <c r="I946" s="66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28"/>
      <c r="G947" s="28"/>
      <c r="H947" s="66"/>
      <c r="I947" s="66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28"/>
      <c r="G948" s="28"/>
      <c r="H948" s="66"/>
      <c r="I948" s="66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28"/>
      <c r="G949" s="28"/>
      <c r="H949" s="66"/>
      <c r="I949" s="66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28"/>
      <c r="G950" s="28"/>
      <c r="H950" s="66"/>
      <c r="I950" s="66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28"/>
      <c r="G951" s="28"/>
      <c r="H951" s="66"/>
      <c r="I951" s="66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28"/>
      <c r="G952" s="28"/>
      <c r="H952" s="66"/>
      <c r="I952" s="66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28"/>
      <c r="G953" s="28"/>
      <c r="H953" s="66"/>
      <c r="I953" s="66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28"/>
      <c r="G954" s="28"/>
      <c r="H954" s="66"/>
      <c r="I954" s="66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28"/>
      <c r="G955" s="28"/>
      <c r="H955" s="66"/>
      <c r="I955" s="66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28"/>
      <c r="G956" s="28"/>
      <c r="H956" s="66"/>
      <c r="I956" s="66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28"/>
      <c r="G957" s="28"/>
      <c r="H957" s="66"/>
      <c r="I957" s="66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28"/>
      <c r="G958" s="28"/>
      <c r="H958" s="66"/>
      <c r="I958" s="66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28"/>
      <c r="G959" s="28"/>
      <c r="H959" s="66"/>
      <c r="I959" s="66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28"/>
      <c r="G960" s="28"/>
      <c r="H960" s="66"/>
      <c r="I960" s="66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28"/>
      <c r="G961" s="28"/>
      <c r="H961" s="66"/>
      <c r="I961" s="66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28"/>
      <c r="G962" s="28"/>
      <c r="H962" s="66"/>
      <c r="I962" s="66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28"/>
      <c r="G963" s="28"/>
      <c r="H963" s="66"/>
      <c r="I963" s="66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28"/>
      <c r="G964" s="28"/>
      <c r="H964" s="66"/>
      <c r="I964" s="66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28"/>
      <c r="G965" s="28"/>
      <c r="H965" s="66"/>
      <c r="I965" s="66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28"/>
      <c r="G966" s="28"/>
      <c r="H966" s="66"/>
      <c r="I966" s="66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28"/>
      <c r="G967" s="28"/>
      <c r="H967" s="66"/>
      <c r="I967" s="66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28"/>
      <c r="G968" s="28"/>
      <c r="H968" s="66"/>
      <c r="I968" s="66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28"/>
      <c r="G969" s="28"/>
      <c r="H969" s="66"/>
      <c r="I969" s="66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28"/>
      <c r="G970" s="28"/>
      <c r="H970" s="66"/>
      <c r="I970" s="66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28"/>
      <c r="G971" s="28"/>
      <c r="H971" s="66"/>
      <c r="I971" s="66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28"/>
      <c r="G972" s="28"/>
      <c r="H972" s="66"/>
      <c r="I972" s="66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28"/>
      <c r="G973" s="28"/>
      <c r="H973" s="66"/>
      <c r="I973" s="66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28"/>
      <c r="G974" s="28"/>
      <c r="H974" s="66"/>
      <c r="I974" s="66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28"/>
      <c r="G975" s="28"/>
      <c r="H975" s="66"/>
      <c r="I975" s="66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28"/>
      <c r="G976" s="28"/>
      <c r="H976" s="66"/>
      <c r="I976" s="66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28"/>
      <c r="G977" s="28"/>
      <c r="H977" s="66"/>
      <c r="I977" s="66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28"/>
      <c r="G978" s="28"/>
      <c r="H978" s="66"/>
      <c r="I978" s="66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28"/>
      <c r="G979" s="28"/>
      <c r="H979" s="66"/>
      <c r="I979" s="66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28"/>
      <c r="G980" s="28"/>
      <c r="H980" s="66"/>
      <c r="I980" s="66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28"/>
      <c r="G981" s="28"/>
      <c r="H981" s="66"/>
      <c r="I981" s="66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28"/>
      <c r="G982" s="28"/>
      <c r="H982" s="66"/>
      <c r="I982" s="66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28"/>
      <c r="G983" s="28"/>
      <c r="H983" s="66"/>
      <c r="I983" s="66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28"/>
      <c r="G984" s="28"/>
      <c r="H984" s="66"/>
      <c r="I984" s="66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28"/>
      <c r="G985" s="28"/>
      <c r="H985" s="66"/>
      <c r="I985" s="66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28"/>
      <c r="G986" s="28"/>
      <c r="H986" s="66"/>
      <c r="I986" s="66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28"/>
      <c r="G987" s="28"/>
      <c r="H987" s="66"/>
      <c r="I987" s="66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28"/>
      <c r="G988" s="28"/>
      <c r="H988" s="66"/>
      <c r="I988" s="66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28"/>
      <c r="G989" s="28"/>
      <c r="H989" s="66"/>
      <c r="I989" s="66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28"/>
      <c r="G990" s="28"/>
      <c r="H990" s="66"/>
      <c r="I990" s="66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28"/>
      <c r="G991" s="28"/>
      <c r="H991" s="66"/>
      <c r="I991" s="66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28"/>
      <c r="G992" s="28"/>
      <c r="H992" s="66"/>
      <c r="I992" s="66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28"/>
      <c r="G993" s="28"/>
      <c r="H993" s="66"/>
      <c r="I993" s="66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28"/>
      <c r="G994" s="28"/>
      <c r="H994" s="66"/>
      <c r="I994" s="66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28"/>
      <c r="G995" s="28"/>
      <c r="H995" s="66"/>
      <c r="I995" s="66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28"/>
      <c r="G996" s="28"/>
      <c r="H996" s="66"/>
      <c r="I996" s="66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28"/>
      <c r="G997" s="28"/>
      <c r="H997" s="66"/>
      <c r="I997" s="66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28"/>
      <c r="G998" s="28"/>
      <c r="H998" s="66"/>
      <c r="I998" s="66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28"/>
      <c r="G999" s="28"/>
      <c r="H999" s="66"/>
      <c r="I999" s="66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>
      <c r="A1000" s="28"/>
      <c r="B1000" s="28"/>
      <c r="C1000" s="28"/>
      <c r="D1000" s="28"/>
      <c r="E1000" s="28"/>
      <c r="F1000" s="28"/>
      <c r="G1000" s="28"/>
      <c r="H1000" s="66"/>
      <c r="I1000" s="66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>
      <c r="A1001" s="28"/>
      <c r="B1001" s="28"/>
      <c r="C1001" s="28"/>
      <c r="D1001" s="28"/>
      <c r="E1001" s="28"/>
      <c r="F1001" s="28"/>
      <c r="G1001" s="28"/>
      <c r="H1001" s="66"/>
      <c r="I1001" s="66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>
      <c r="A1002" s="28"/>
      <c r="B1002" s="28"/>
      <c r="C1002" s="28"/>
      <c r="D1002" s="28"/>
      <c r="E1002" s="28"/>
      <c r="F1002" s="28"/>
      <c r="G1002" s="28"/>
      <c r="H1002" s="66"/>
      <c r="I1002" s="66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</sheetData>
  <autoFilter ref="$A$4:$AC$13">
    <sortState ref="A4:AC13">
      <sortCondition ref="A4:A13"/>
    </sortState>
  </autoFilter>
  <mergeCells count="12">
    <mergeCell ref="G2:G3"/>
    <mergeCell ref="H2:I2"/>
    <mergeCell ref="J2:K2"/>
    <mergeCell ref="L2:M2"/>
    <mergeCell ref="N2:O2"/>
    <mergeCell ref="A1:K1"/>
    <mergeCell ref="A2:A3"/>
    <mergeCell ref="B2:B3"/>
    <mergeCell ref="C2:C3"/>
    <mergeCell ref="D2:D3"/>
    <mergeCell ref="E2:E3"/>
    <mergeCell ref="F2: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4" width="7.88"/>
    <col customWidth="1" min="5" max="5" width="9.88"/>
    <col customWidth="1" min="6" max="6" width="6.13"/>
    <col customWidth="1" min="7" max="7" width="9.13"/>
    <col hidden="1" min="8" max="9" width="12.63"/>
  </cols>
  <sheetData>
    <row r="1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12"/>
    </row>
    <row r="2">
      <c r="A2" s="14" t="s">
        <v>0</v>
      </c>
      <c r="B2" s="14" t="s">
        <v>2</v>
      </c>
      <c r="C2" s="14" t="s">
        <v>3</v>
      </c>
      <c r="D2" s="17" t="s">
        <v>4</v>
      </c>
      <c r="E2" s="17" t="s">
        <v>5</v>
      </c>
      <c r="F2" s="20" t="s">
        <v>14</v>
      </c>
      <c r="G2" s="17" t="s">
        <v>7</v>
      </c>
      <c r="H2" s="24" t="s">
        <v>13</v>
      </c>
      <c r="I2" s="12"/>
      <c r="J2" s="26" t="s">
        <v>19</v>
      </c>
      <c r="K2" s="12"/>
      <c r="L2" s="26" t="s">
        <v>286</v>
      </c>
      <c r="M2" s="12"/>
      <c r="N2" s="26" t="s">
        <v>287</v>
      </c>
      <c r="O2" s="12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0"/>
      <c r="B3" s="30"/>
      <c r="C3" s="30"/>
      <c r="D3" s="30"/>
      <c r="E3" s="30"/>
      <c r="F3" s="30"/>
      <c r="G3" s="30"/>
      <c r="H3" s="31" t="s">
        <v>31</v>
      </c>
      <c r="I3" s="31" t="s">
        <v>32</v>
      </c>
      <c r="J3" s="33" t="s">
        <v>9</v>
      </c>
      <c r="K3" s="33" t="s">
        <v>32</v>
      </c>
      <c r="L3" s="33" t="s">
        <v>9</v>
      </c>
      <c r="M3" s="33" t="s">
        <v>32</v>
      </c>
      <c r="N3" s="34" t="s">
        <v>11</v>
      </c>
      <c r="O3" s="33" t="s">
        <v>32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>
      <c r="A4" s="36"/>
      <c r="B4" s="37"/>
      <c r="C4" s="38"/>
      <c r="D4" s="39"/>
      <c r="E4" s="39"/>
      <c r="F4" s="39"/>
      <c r="G4" s="40"/>
      <c r="H4" s="41"/>
      <c r="I4" s="41"/>
      <c r="J4" s="39"/>
      <c r="K4" s="39"/>
      <c r="L4" s="39"/>
      <c r="M4" s="3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37">
        <v>1.0</v>
      </c>
      <c r="B5" s="37" t="s">
        <v>39</v>
      </c>
      <c r="C5" s="38" t="s">
        <v>40</v>
      </c>
      <c r="D5" s="39"/>
      <c r="E5" s="39"/>
      <c r="F5" s="39"/>
      <c r="G5" s="40">
        <v>17817.0</v>
      </c>
      <c r="H5" s="41">
        <v>200.0</v>
      </c>
      <c r="I5" s="48">
        <v>45868.0</v>
      </c>
      <c r="J5" s="47">
        <v>46187.0</v>
      </c>
      <c r="K5" s="38">
        <v>200.0</v>
      </c>
      <c r="L5" s="47">
        <v>45941.0</v>
      </c>
      <c r="M5" s="38">
        <v>100.0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37">
        <v>2.0</v>
      </c>
      <c r="B6" s="37" t="s">
        <v>39</v>
      </c>
      <c r="C6" s="38" t="s">
        <v>42</v>
      </c>
      <c r="D6" s="37" t="s">
        <v>41</v>
      </c>
      <c r="E6" s="39"/>
      <c r="F6" s="39"/>
      <c r="G6" s="40">
        <v>17817.0</v>
      </c>
      <c r="H6" s="41">
        <v>200.0</v>
      </c>
      <c r="I6" s="48">
        <v>45941.0</v>
      </c>
      <c r="J6" s="47">
        <v>46187.0</v>
      </c>
      <c r="K6" s="38">
        <v>200.0</v>
      </c>
      <c r="L6" s="47">
        <v>45941.0</v>
      </c>
      <c r="M6" s="38">
        <v>100.0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37"/>
      <c r="B7" s="37" t="s">
        <v>39</v>
      </c>
      <c r="C7" s="38" t="s">
        <v>294</v>
      </c>
      <c r="D7" s="39"/>
      <c r="E7" s="39"/>
      <c r="F7" s="39"/>
      <c r="G7" s="40"/>
      <c r="H7" s="90"/>
      <c r="I7" s="48"/>
      <c r="J7" s="47">
        <v>46187.0</v>
      </c>
      <c r="K7" s="38">
        <v>200.0</v>
      </c>
      <c r="L7" s="39"/>
      <c r="M7" s="39"/>
      <c r="N7" s="47">
        <v>46187.0</v>
      </c>
      <c r="O7" s="38">
        <v>100.0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37"/>
      <c r="B8" s="37"/>
      <c r="C8" s="39"/>
      <c r="D8" s="39"/>
      <c r="E8" s="39"/>
      <c r="F8" s="39"/>
      <c r="G8" s="40"/>
      <c r="H8" s="90"/>
      <c r="I8" s="48"/>
      <c r="J8" s="39"/>
      <c r="K8" s="4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37"/>
      <c r="B9" s="37"/>
      <c r="C9" s="39"/>
      <c r="D9" s="39"/>
      <c r="E9" s="39"/>
      <c r="F9" s="39"/>
      <c r="G9" s="40"/>
      <c r="H9" s="90"/>
      <c r="I9" s="48"/>
      <c r="J9" s="39"/>
      <c r="K9" s="4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37"/>
      <c r="B10" s="37"/>
      <c r="C10" s="39"/>
      <c r="D10" s="39"/>
      <c r="E10" s="39"/>
      <c r="F10" s="39"/>
      <c r="G10" s="40"/>
      <c r="H10" s="90"/>
      <c r="I10" s="48"/>
      <c r="J10" s="39"/>
      <c r="K10" s="47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37"/>
      <c r="B11" s="37"/>
      <c r="C11" s="38"/>
      <c r="D11" s="39"/>
      <c r="E11" s="39"/>
      <c r="F11" s="39"/>
      <c r="G11" s="40"/>
      <c r="H11" s="41"/>
      <c r="I11" s="77"/>
      <c r="J11" s="39"/>
      <c r="K11" s="39"/>
      <c r="L11" s="71"/>
      <c r="M11" s="71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37"/>
      <c r="B12" s="37"/>
      <c r="C12" s="38"/>
      <c r="D12" s="39"/>
      <c r="E12" s="39"/>
      <c r="F12" s="39"/>
      <c r="G12" s="40"/>
      <c r="H12" s="41"/>
      <c r="I12" s="77"/>
      <c r="J12" s="39"/>
      <c r="K12" s="39"/>
      <c r="L12" s="71"/>
      <c r="M12" s="71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37"/>
      <c r="B13" s="37"/>
      <c r="C13" s="38"/>
      <c r="D13" s="39"/>
      <c r="E13" s="39"/>
      <c r="F13" s="39"/>
      <c r="G13" s="40"/>
      <c r="H13" s="41"/>
      <c r="I13" s="48"/>
      <c r="J13" s="39"/>
      <c r="K13" s="39"/>
      <c r="L13" s="47"/>
      <c r="M13" s="38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37"/>
      <c r="B14" s="37"/>
      <c r="C14" s="38"/>
      <c r="D14" s="39"/>
      <c r="E14" s="39"/>
      <c r="F14" s="39"/>
      <c r="G14" s="40"/>
      <c r="H14" s="57"/>
      <c r="I14" s="41"/>
      <c r="J14" s="39"/>
      <c r="K14" s="39"/>
      <c r="L14" s="59"/>
      <c r="M14" s="38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51"/>
      <c r="B15" s="37"/>
      <c r="C15" s="38"/>
      <c r="D15" s="39"/>
      <c r="E15" s="39"/>
      <c r="F15" s="39"/>
      <c r="G15" s="40"/>
      <c r="H15" s="48"/>
      <c r="I15" s="41"/>
      <c r="J15" s="47"/>
      <c r="K15" s="38"/>
      <c r="L15" s="47"/>
      <c r="M15" s="3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37"/>
      <c r="B16" s="37"/>
      <c r="C16" s="38"/>
      <c r="D16" s="38"/>
      <c r="E16" s="39"/>
      <c r="F16" s="39"/>
      <c r="G16" s="40"/>
      <c r="H16" s="41"/>
      <c r="I16" s="41"/>
      <c r="J16" s="39"/>
      <c r="K16" s="39"/>
      <c r="L16" s="39"/>
      <c r="M16" s="39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>
      <c r="A17" s="37"/>
      <c r="B17" s="37"/>
      <c r="C17" s="38"/>
      <c r="D17" s="39"/>
      <c r="E17" s="39"/>
      <c r="F17" s="39"/>
      <c r="G17" s="40"/>
      <c r="H17" s="48"/>
      <c r="I17" s="41"/>
      <c r="J17" s="47"/>
      <c r="K17" s="38"/>
      <c r="L17" s="47"/>
      <c r="M17" s="3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>
      <c r="A18" s="51"/>
      <c r="B18" s="37"/>
      <c r="C18" s="38"/>
      <c r="D18" s="39"/>
      <c r="E18" s="39"/>
      <c r="F18" s="39"/>
      <c r="G18" s="40"/>
      <c r="H18" s="48"/>
      <c r="I18" s="41"/>
      <c r="J18" s="47"/>
      <c r="K18" s="38"/>
      <c r="L18" s="47"/>
      <c r="M18" s="3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>
      <c r="A19" s="37"/>
      <c r="B19" s="37"/>
      <c r="C19" s="38"/>
      <c r="D19" s="39"/>
      <c r="E19" s="39"/>
      <c r="F19" s="39"/>
      <c r="G19" s="40"/>
      <c r="H19" s="48"/>
      <c r="I19" s="41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>
      <c r="A20" s="51"/>
      <c r="B20" s="37"/>
      <c r="C20" s="38"/>
      <c r="D20" s="38"/>
      <c r="E20" s="39"/>
      <c r="F20" s="39"/>
      <c r="G20" s="40"/>
      <c r="H20" s="41"/>
      <c r="I20" s="41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37"/>
      <c r="B21" s="37"/>
      <c r="C21" s="38"/>
      <c r="D21" s="39"/>
      <c r="E21" s="39"/>
      <c r="F21" s="39"/>
      <c r="G21" s="40"/>
      <c r="H21" s="48"/>
      <c r="I21" s="41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51"/>
      <c r="B22" s="37"/>
      <c r="C22" s="38"/>
      <c r="D22" s="39"/>
      <c r="E22" s="39"/>
      <c r="F22" s="39"/>
      <c r="G22" s="40"/>
      <c r="H22" s="48"/>
      <c r="I22" s="41"/>
      <c r="J22" s="47"/>
      <c r="K22" s="38"/>
      <c r="L22" s="47"/>
      <c r="M22" s="3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7"/>
      <c r="B23" s="37"/>
      <c r="C23" s="38"/>
      <c r="D23" s="39"/>
      <c r="E23" s="39"/>
      <c r="F23" s="39"/>
      <c r="G23" s="40"/>
      <c r="H23" s="48"/>
      <c r="I23" s="41"/>
      <c r="J23" s="47"/>
      <c r="K23" s="38"/>
      <c r="L23" s="47"/>
      <c r="M23" s="3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37"/>
      <c r="B24" s="37"/>
      <c r="C24" s="38"/>
      <c r="D24" s="38"/>
      <c r="E24" s="39"/>
      <c r="F24" s="39"/>
      <c r="G24" s="40"/>
      <c r="H24" s="41"/>
      <c r="I24" s="41"/>
      <c r="J24" s="39"/>
      <c r="K24" s="39"/>
      <c r="L24" s="39"/>
      <c r="M24" s="3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37"/>
      <c r="B25" s="37"/>
      <c r="C25" s="38"/>
      <c r="D25" s="39"/>
      <c r="E25" s="39"/>
      <c r="F25" s="39"/>
      <c r="G25" s="40"/>
      <c r="H25" s="41"/>
      <c r="I25" s="41"/>
      <c r="J25" s="39"/>
      <c r="K25" s="39"/>
      <c r="L25" s="39"/>
      <c r="M25" s="3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51"/>
      <c r="B26" s="37"/>
      <c r="C26" s="38"/>
      <c r="D26" s="38"/>
      <c r="E26" s="39"/>
      <c r="F26" s="39"/>
      <c r="G26" s="40"/>
      <c r="H26" s="41"/>
      <c r="I26" s="41"/>
      <c r="J26" s="39"/>
      <c r="K26" s="39"/>
      <c r="L26" s="39"/>
      <c r="M26" s="39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37"/>
      <c r="B27" s="37"/>
      <c r="C27" s="38"/>
      <c r="D27" s="39"/>
      <c r="E27" s="39"/>
      <c r="F27" s="39"/>
      <c r="G27" s="40"/>
      <c r="H27" s="41"/>
      <c r="I27" s="41"/>
      <c r="J27" s="47"/>
      <c r="K27" s="38"/>
      <c r="L27" s="47"/>
      <c r="M27" s="3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51"/>
      <c r="B28" s="37"/>
      <c r="C28" s="38"/>
      <c r="D28" s="38"/>
      <c r="E28" s="39"/>
      <c r="F28" s="39"/>
      <c r="G28" s="40"/>
      <c r="H28" s="41"/>
      <c r="I28" s="41"/>
      <c r="J28" s="39"/>
      <c r="K28" s="39"/>
      <c r="L28" s="39"/>
      <c r="M28" s="3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>
      <c r="A29" s="37"/>
      <c r="B29" s="37"/>
      <c r="C29" s="38"/>
      <c r="D29" s="39"/>
      <c r="E29" s="39"/>
      <c r="F29" s="39"/>
      <c r="G29" s="40"/>
      <c r="H29" s="48"/>
      <c r="I29" s="41"/>
      <c r="J29" s="47"/>
      <c r="K29" s="38"/>
      <c r="L29" s="47"/>
      <c r="M29" s="3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37"/>
      <c r="B30" s="60"/>
      <c r="C30" s="38"/>
      <c r="D30" s="40"/>
      <c r="E30" s="39"/>
      <c r="F30" s="39"/>
      <c r="G30" s="40"/>
      <c r="H30" s="48"/>
      <c r="I30" s="41"/>
      <c r="J30" s="39"/>
      <c r="K30" s="39"/>
      <c r="L30" s="39"/>
      <c r="M30" s="39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51"/>
      <c r="B31" s="37"/>
      <c r="C31" s="38"/>
      <c r="D31" s="39"/>
      <c r="E31" s="39"/>
      <c r="F31" s="39"/>
      <c r="G31" s="40"/>
      <c r="H31" s="41"/>
      <c r="I31" s="41"/>
      <c r="J31" s="39"/>
      <c r="K31" s="39"/>
      <c r="L31" s="39"/>
      <c r="M31" s="3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37"/>
      <c r="B32" s="37"/>
      <c r="C32" s="38"/>
      <c r="D32" s="39"/>
      <c r="E32" s="39"/>
      <c r="F32" s="39"/>
      <c r="G32" s="40"/>
      <c r="H32" s="41"/>
      <c r="I32" s="41"/>
      <c r="J32" s="39"/>
      <c r="K32" s="39"/>
      <c r="L32" s="39"/>
      <c r="M32" s="3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51"/>
      <c r="B33" s="37"/>
      <c r="C33" s="38"/>
      <c r="D33" s="39"/>
      <c r="E33" s="39"/>
      <c r="F33" s="39"/>
      <c r="G33" s="40"/>
      <c r="H33" s="41"/>
      <c r="I33" s="41"/>
      <c r="J33" s="39"/>
      <c r="K33" s="39"/>
      <c r="L33" s="39"/>
      <c r="M33" s="3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37"/>
      <c r="B34" s="37"/>
      <c r="C34" s="38"/>
      <c r="D34" s="39"/>
      <c r="E34" s="39"/>
      <c r="F34" s="39"/>
      <c r="G34" s="40"/>
      <c r="H34" s="48"/>
      <c r="I34" s="41"/>
      <c r="J34" s="47"/>
      <c r="K34" s="38"/>
      <c r="L34" s="47"/>
      <c r="M34" s="3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51"/>
      <c r="B35" s="36"/>
      <c r="C35" s="38"/>
      <c r="D35" s="38"/>
      <c r="E35" s="38"/>
      <c r="F35" s="47"/>
      <c r="G35" s="40"/>
      <c r="H35" s="41"/>
      <c r="I35" s="41"/>
      <c r="J35" s="47"/>
      <c r="K35" s="38"/>
      <c r="L35" s="47"/>
      <c r="M35" s="3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37"/>
      <c r="B36" s="37"/>
      <c r="C36" s="38"/>
      <c r="D36" s="39"/>
      <c r="E36" s="39"/>
      <c r="F36" s="39"/>
      <c r="G36" s="40"/>
      <c r="H36" s="48"/>
      <c r="I36" s="41"/>
      <c r="J36" s="47"/>
      <c r="K36" s="38"/>
      <c r="L36" s="47"/>
      <c r="M36" s="3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37"/>
      <c r="B37" s="37"/>
      <c r="C37" s="38"/>
      <c r="D37" s="39"/>
      <c r="E37" s="39"/>
      <c r="F37" s="39"/>
      <c r="G37" s="40"/>
      <c r="H37" s="48"/>
      <c r="I37" s="41"/>
      <c r="J37" s="47"/>
      <c r="K37" s="38"/>
      <c r="L37" s="47"/>
      <c r="M37" s="3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51"/>
      <c r="B38" s="37"/>
      <c r="C38" s="38"/>
      <c r="D38" s="39"/>
      <c r="E38" s="39"/>
      <c r="F38" s="39"/>
      <c r="G38" s="40"/>
      <c r="H38" s="48"/>
      <c r="I38" s="41"/>
      <c r="J38" s="47"/>
      <c r="K38" s="38"/>
      <c r="L38" s="47"/>
      <c r="M38" s="3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37"/>
      <c r="B39" s="37"/>
      <c r="C39" s="38"/>
      <c r="D39" s="39"/>
      <c r="E39" s="39"/>
      <c r="F39" s="39"/>
      <c r="G39" s="40"/>
      <c r="H39" s="48"/>
      <c r="I39" s="41"/>
      <c r="J39" s="47"/>
      <c r="K39" s="38"/>
      <c r="L39" s="47"/>
      <c r="M39" s="3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51"/>
      <c r="B40" s="37"/>
      <c r="C40" s="38"/>
      <c r="D40" s="39"/>
      <c r="E40" s="39"/>
      <c r="F40" s="39"/>
      <c r="G40" s="40"/>
      <c r="H40" s="41"/>
      <c r="I40" s="41"/>
      <c r="J40" s="39"/>
      <c r="K40" s="39"/>
      <c r="L40" s="39"/>
      <c r="M40" s="39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37"/>
      <c r="B41" s="37"/>
      <c r="C41" s="38"/>
      <c r="D41" s="39"/>
      <c r="E41" s="39"/>
      <c r="F41" s="39"/>
      <c r="G41" s="40"/>
      <c r="H41" s="48"/>
      <c r="I41" s="41"/>
      <c r="J41" s="47"/>
      <c r="K41" s="38"/>
      <c r="L41" s="47"/>
      <c r="M41" s="3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51"/>
      <c r="B42" s="36"/>
      <c r="C42" s="38"/>
      <c r="D42" s="38"/>
      <c r="E42" s="38"/>
      <c r="F42" s="47"/>
      <c r="G42" s="40"/>
      <c r="H42" s="41"/>
      <c r="I42" s="41"/>
      <c r="J42" s="39"/>
      <c r="K42" s="39"/>
      <c r="L42" s="39"/>
      <c r="M42" s="3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37"/>
      <c r="B43" s="37"/>
      <c r="C43" s="38"/>
      <c r="D43" s="39"/>
      <c r="E43" s="39"/>
      <c r="F43" s="39"/>
      <c r="G43" s="40"/>
      <c r="H43" s="41"/>
      <c r="I43" s="41"/>
      <c r="J43" s="39"/>
      <c r="K43" s="39"/>
      <c r="L43" s="39"/>
      <c r="M43" s="3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51"/>
      <c r="B44" s="37"/>
      <c r="C44" s="38"/>
      <c r="D44" s="39"/>
      <c r="E44" s="39"/>
      <c r="F44" s="39"/>
      <c r="G44" s="40"/>
      <c r="H44" s="41"/>
      <c r="I44" s="41"/>
      <c r="J44" s="47"/>
      <c r="K44" s="38"/>
      <c r="L44" s="39"/>
      <c r="M44" s="3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37"/>
      <c r="B45" s="36"/>
      <c r="C45" s="38"/>
      <c r="D45" s="38"/>
      <c r="E45" s="38"/>
      <c r="F45" s="39"/>
      <c r="G45" s="64"/>
      <c r="H45" s="41"/>
      <c r="I45" s="41"/>
      <c r="J45" s="39"/>
      <c r="K45" s="39"/>
      <c r="L45" s="39"/>
      <c r="M45" s="3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51"/>
      <c r="B46" s="37"/>
      <c r="C46" s="38"/>
      <c r="D46" s="38"/>
      <c r="E46" s="39"/>
      <c r="F46" s="39"/>
      <c r="G46" s="40"/>
      <c r="H46" s="41"/>
      <c r="I46" s="41"/>
      <c r="J46" s="39"/>
      <c r="K46" s="39"/>
      <c r="L46" s="39"/>
      <c r="M46" s="3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37"/>
      <c r="B47" s="37"/>
      <c r="C47" s="38"/>
      <c r="D47" s="39"/>
      <c r="E47" s="39"/>
      <c r="F47" s="39"/>
      <c r="G47" s="40"/>
      <c r="H47" s="41"/>
      <c r="I47" s="41"/>
      <c r="J47" s="39"/>
      <c r="K47" s="39"/>
      <c r="L47" s="39"/>
      <c r="M47" s="39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37"/>
      <c r="B48" s="37"/>
      <c r="C48" s="38"/>
      <c r="D48" s="39"/>
      <c r="E48" s="39"/>
      <c r="F48" s="39"/>
      <c r="G48" s="40"/>
      <c r="H48" s="48"/>
      <c r="I48" s="41"/>
      <c r="J48" s="47"/>
      <c r="K48" s="38"/>
      <c r="L48" s="47"/>
      <c r="M48" s="3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51"/>
      <c r="B49" s="37"/>
      <c r="C49" s="38"/>
      <c r="D49" s="39"/>
      <c r="E49" s="39"/>
      <c r="F49" s="39"/>
      <c r="G49" s="40"/>
      <c r="H49" s="41"/>
      <c r="I49" s="41"/>
      <c r="J49" s="47"/>
      <c r="K49" s="38"/>
      <c r="L49" s="39"/>
      <c r="M49" s="3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37"/>
      <c r="B50" s="37"/>
      <c r="C50" s="38"/>
      <c r="D50" s="39"/>
      <c r="E50" s="39"/>
      <c r="F50" s="39"/>
      <c r="G50" s="40"/>
      <c r="H50" s="41"/>
      <c r="I50" s="41"/>
      <c r="J50" s="47"/>
      <c r="K50" s="38"/>
      <c r="L50" s="39"/>
      <c r="M50" s="3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51"/>
      <c r="B51" s="38"/>
      <c r="C51" s="38"/>
      <c r="D51" s="39"/>
      <c r="E51" s="39"/>
      <c r="F51" s="39"/>
      <c r="G51" s="40"/>
      <c r="H51" s="41"/>
      <c r="I51" s="41"/>
      <c r="J51" s="39"/>
      <c r="K51" s="39"/>
      <c r="L51" s="39"/>
      <c r="M51" s="39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37"/>
      <c r="B52" s="36"/>
      <c r="C52" s="38"/>
      <c r="D52" s="38"/>
      <c r="E52" s="39"/>
      <c r="F52" s="39"/>
      <c r="G52" s="40"/>
      <c r="H52" s="41"/>
      <c r="I52" s="41"/>
      <c r="J52" s="47"/>
      <c r="K52" s="38"/>
      <c r="L52" s="39"/>
      <c r="M52" s="39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>
      <c r="A53" s="51"/>
      <c r="B53" s="37"/>
      <c r="C53" s="38"/>
      <c r="D53" s="38"/>
      <c r="E53" s="39"/>
      <c r="F53" s="39"/>
      <c r="G53" s="40"/>
      <c r="H53" s="41"/>
      <c r="I53" s="41"/>
      <c r="J53" s="47"/>
      <c r="K53" s="38"/>
      <c r="L53" s="39"/>
      <c r="M53" s="3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37"/>
      <c r="B54" s="37"/>
      <c r="C54" s="37"/>
      <c r="D54" s="28"/>
      <c r="E54" s="28"/>
      <c r="F54" s="28"/>
      <c r="G54" s="40"/>
      <c r="H54" s="66"/>
      <c r="I54" s="66"/>
      <c r="J54" s="47"/>
      <c r="K54" s="3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37"/>
      <c r="B55" s="37"/>
      <c r="C55" s="37"/>
      <c r="D55" s="28"/>
      <c r="E55" s="28"/>
      <c r="F55" s="28"/>
      <c r="G55" s="40"/>
      <c r="H55" s="66"/>
      <c r="I55" s="66"/>
      <c r="J55" s="47"/>
      <c r="K55" s="3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28"/>
      <c r="B56" s="28"/>
      <c r="C56" s="28"/>
      <c r="D56" s="28"/>
      <c r="E56" s="28"/>
      <c r="F56" s="28"/>
      <c r="G56" s="28"/>
      <c r="H56" s="66"/>
      <c r="I56" s="66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28"/>
      <c r="B57" s="28"/>
      <c r="C57" s="28"/>
      <c r="D57" s="28"/>
      <c r="E57" s="28"/>
      <c r="F57" s="28"/>
      <c r="G57" s="28"/>
      <c r="H57" s="66"/>
      <c r="I57" s="66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28"/>
      <c r="B58" s="28"/>
      <c r="C58" s="28"/>
      <c r="D58" s="28"/>
      <c r="E58" s="28"/>
      <c r="F58" s="28"/>
      <c r="G58" s="28"/>
      <c r="H58" s="66"/>
      <c r="I58" s="66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28"/>
      <c r="B59" s="28"/>
      <c r="C59" s="28"/>
      <c r="D59" s="28"/>
      <c r="E59" s="28"/>
      <c r="F59" s="28"/>
      <c r="G59" s="28"/>
      <c r="H59" s="66"/>
      <c r="I59" s="66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28"/>
      <c r="B60" s="28"/>
      <c r="C60" s="28"/>
      <c r="D60" s="28"/>
      <c r="E60" s="28"/>
      <c r="F60" s="28"/>
      <c r="G60" s="28"/>
      <c r="H60" s="66"/>
      <c r="I60" s="66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28"/>
      <c r="B61" s="28"/>
      <c r="C61" s="28"/>
      <c r="D61" s="28"/>
      <c r="E61" s="28"/>
      <c r="F61" s="28"/>
      <c r="G61" s="28"/>
      <c r="H61" s="66"/>
      <c r="I61" s="66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28"/>
      <c r="B62" s="28"/>
      <c r="C62" s="28"/>
      <c r="D62" s="28"/>
      <c r="E62" s="28"/>
      <c r="F62" s="28"/>
      <c r="G62" s="28"/>
      <c r="H62" s="66"/>
      <c r="I62" s="66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28"/>
      <c r="B63" s="28"/>
      <c r="C63" s="28"/>
      <c r="D63" s="28"/>
      <c r="E63" s="28"/>
      <c r="F63" s="28"/>
      <c r="G63" s="28"/>
      <c r="H63" s="66"/>
      <c r="I63" s="66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28"/>
      <c r="B64" s="28"/>
      <c r="C64" s="28"/>
      <c r="D64" s="28"/>
      <c r="E64" s="28"/>
      <c r="F64" s="28"/>
      <c r="G64" s="28"/>
      <c r="H64" s="66"/>
      <c r="I64" s="66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28"/>
      <c r="B65" s="28"/>
      <c r="C65" s="28"/>
      <c r="D65" s="28"/>
      <c r="E65" s="28"/>
      <c r="F65" s="28"/>
      <c r="G65" s="28"/>
      <c r="H65" s="66"/>
      <c r="I65" s="66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28"/>
      <c r="B66" s="28"/>
      <c r="C66" s="28"/>
      <c r="D66" s="28"/>
      <c r="E66" s="28"/>
      <c r="F66" s="28"/>
      <c r="G66" s="28"/>
      <c r="H66" s="66"/>
      <c r="I66" s="66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28"/>
      <c r="B67" s="28"/>
      <c r="C67" s="28"/>
      <c r="D67" s="28"/>
      <c r="E67" s="28"/>
      <c r="F67" s="28"/>
      <c r="G67" s="28"/>
      <c r="H67" s="66"/>
      <c r="I67" s="66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28"/>
      <c r="B68" s="28"/>
      <c r="C68" s="28"/>
      <c r="D68" s="28"/>
      <c r="E68" s="28"/>
      <c r="F68" s="28"/>
      <c r="G68" s="28"/>
      <c r="H68" s="66"/>
      <c r="I68" s="66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28"/>
      <c r="B69" s="28"/>
      <c r="C69" s="28"/>
      <c r="D69" s="28"/>
      <c r="E69" s="28"/>
      <c r="F69" s="28"/>
      <c r="G69" s="28"/>
      <c r="H69" s="66"/>
      <c r="I69" s="66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28"/>
      <c r="B70" s="28"/>
      <c r="C70" s="28"/>
      <c r="D70" s="28"/>
      <c r="E70" s="28"/>
      <c r="F70" s="28"/>
      <c r="G70" s="28"/>
      <c r="H70" s="66"/>
      <c r="I70" s="66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28"/>
      <c r="B71" s="28"/>
      <c r="C71" s="28"/>
      <c r="D71" s="28"/>
      <c r="E71" s="28"/>
      <c r="F71" s="28"/>
      <c r="G71" s="28"/>
      <c r="H71" s="66"/>
      <c r="I71" s="66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28"/>
      <c r="B72" s="28"/>
      <c r="C72" s="28"/>
      <c r="D72" s="28"/>
      <c r="E72" s="28"/>
      <c r="F72" s="28"/>
      <c r="G72" s="28"/>
      <c r="H72" s="66"/>
      <c r="I72" s="66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28"/>
      <c r="B73" s="28"/>
      <c r="C73" s="28"/>
      <c r="D73" s="28"/>
      <c r="E73" s="28"/>
      <c r="F73" s="28"/>
      <c r="G73" s="28"/>
      <c r="H73" s="66"/>
      <c r="I73" s="66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28"/>
      <c r="B74" s="28"/>
      <c r="C74" s="28"/>
      <c r="D74" s="28"/>
      <c r="E74" s="28"/>
      <c r="F74" s="28"/>
      <c r="G74" s="28"/>
      <c r="H74" s="66"/>
      <c r="I74" s="66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28"/>
      <c r="B75" s="28"/>
      <c r="C75" s="28"/>
      <c r="D75" s="28"/>
      <c r="E75" s="28"/>
      <c r="F75" s="28"/>
      <c r="G75" s="28"/>
      <c r="H75" s="66"/>
      <c r="I75" s="66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28"/>
      <c r="B76" s="28"/>
      <c r="C76" s="28"/>
      <c r="D76" s="28"/>
      <c r="E76" s="28"/>
      <c r="F76" s="28"/>
      <c r="G76" s="28"/>
      <c r="H76" s="66"/>
      <c r="I76" s="66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28"/>
      <c r="B77" s="28"/>
      <c r="C77" s="28"/>
      <c r="D77" s="28"/>
      <c r="E77" s="28"/>
      <c r="F77" s="28"/>
      <c r="G77" s="28"/>
      <c r="H77" s="66"/>
      <c r="I77" s="66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28"/>
      <c r="B78" s="28"/>
      <c r="C78" s="28"/>
      <c r="D78" s="28"/>
      <c r="E78" s="28"/>
      <c r="F78" s="28"/>
      <c r="G78" s="28"/>
      <c r="H78" s="66"/>
      <c r="I78" s="66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28"/>
      <c r="B79" s="28"/>
      <c r="C79" s="28"/>
      <c r="D79" s="28"/>
      <c r="E79" s="28"/>
      <c r="F79" s="28"/>
      <c r="G79" s="28"/>
      <c r="H79" s="66"/>
      <c r="I79" s="66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28"/>
      <c r="B80" s="28"/>
      <c r="C80" s="28"/>
      <c r="D80" s="28"/>
      <c r="E80" s="28"/>
      <c r="F80" s="28"/>
      <c r="G80" s="28"/>
      <c r="H80" s="66"/>
      <c r="I80" s="66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28"/>
      <c r="B81" s="28"/>
      <c r="C81" s="28"/>
      <c r="D81" s="28"/>
      <c r="E81" s="28"/>
      <c r="F81" s="28"/>
      <c r="G81" s="28"/>
      <c r="H81" s="66"/>
      <c r="I81" s="66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28"/>
      <c r="B82" s="28"/>
      <c r="C82" s="28"/>
      <c r="D82" s="28"/>
      <c r="E82" s="28"/>
      <c r="F82" s="28"/>
      <c r="G82" s="28"/>
      <c r="H82" s="66"/>
      <c r="I82" s="66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28"/>
      <c r="B83" s="28"/>
      <c r="C83" s="28"/>
      <c r="D83" s="28"/>
      <c r="E83" s="28"/>
      <c r="F83" s="28"/>
      <c r="G83" s="28"/>
      <c r="H83" s="66"/>
      <c r="I83" s="66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28"/>
      <c r="B84" s="28"/>
      <c r="C84" s="28"/>
      <c r="D84" s="28"/>
      <c r="E84" s="28"/>
      <c r="F84" s="28"/>
      <c r="G84" s="28"/>
      <c r="H84" s="66"/>
      <c r="I84" s="66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28"/>
      <c r="B85" s="28"/>
      <c r="C85" s="28"/>
      <c r="D85" s="28"/>
      <c r="E85" s="28"/>
      <c r="F85" s="28"/>
      <c r="G85" s="28"/>
      <c r="H85" s="66"/>
      <c r="I85" s="66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28"/>
      <c r="B86" s="28"/>
      <c r="C86" s="28"/>
      <c r="D86" s="28"/>
      <c r="E86" s="28"/>
      <c r="F86" s="28"/>
      <c r="G86" s="28"/>
      <c r="H86" s="66"/>
      <c r="I86" s="66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28"/>
      <c r="B87" s="28"/>
      <c r="C87" s="28"/>
      <c r="D87" s="28"/>
      <c r="E87" s="28"/>
      <c r="F87" s="28"/>
      <c r="G87" s="28"/>
      <c r="H87" s="66"/>
      <c r="I87" s="66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28"/>
      <c r="B88" s="28"/>
      <c r="C88" s="28"/>
      <c r="D88" s="28"/>
      <c r="E88" s="28"/>
      <c r="F88" s="28"/>
      <c r="G88" s="28"/>
      <c r="H88" s="66"/>
      <c r="I88" s="66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28"/>
      <c r="B89" s="28"/>
      <c r="C89" s="28"/>
      <c r="D89" s="28"/>
      <c r="E89" s="28"/>
      <c r="F89" s="28"/>
      <c r="G89" s="28"/>
      <c r="H89" s="66"/>
      <c r="I89" s="66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28"/>
      <c r="B90" s="28"/>
      <c r="C90" s="28"/>
      <c r="D90" s="28"/>
      <c r="E90" s="28"/>
      <c r="F90" s="28"/>
      <c r="G90" s="28"/>
      <c r="H90" s="66"/>
      <c r="I90" s="6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28"/>
      <c r="B91" s="28"/>
      <c r="C91" s="28"/>
      <c r="D91" s="28"/>
      <c r="E91" s="28"/>
      <c r="F91" s="28"/>
      <c r="G91" s="28"/>
      <c r="H91" s="66"/>
      <c r="I91" s="6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28"/>
      <c r="B92" s="28"/>
      <c r="C92" s="28"/>
      <c r="D92" s="28"/>
      <c r="E92" s="28"/>
      <c r="F92" s="28"/>
      <c r="G92" s="28"/>
      <c r="H92" s="66"/>
      <c r="I92" s="66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28"/>
      <c r="B93" s="28"/>
      <c r="C93" s="28"/>
      <c r="D93" s="28"/>
      <c r="E93" s="28"/>
      <c r="F93" s="28"/>
      <c r="G93" s="28"/>
      <c r="H93" s="66"/>
      <c r="I93" s="66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28"/>
      <c r="B94" s="28"/>
      <c r="C94" s="28"/>
      <c r="D94" s="28"/>
      <c r="E94" s="28"/>
      <c r="F94" s="28"/>
      <c r="G94" s="28"/>
      <c r="H94" s="66"/>
      <c r="I94" s="66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28"/>
      <c r="B95" s="28"/>
      <c r="C95" s="28"/>
      <c r="D95" s="28"/>
      <c r="E95" s="28"/>
      <c r="F95" s="28"/>
      <c r="G95" s="28"/>
      <c r="H95" s="66"/>
      <c r="I95" s="66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28"/>
      <c r="B96" s="28"/>
      <c r="C96" s="28"/>
      <c r="D96" s="28"/>
      <c r="E96" s="28"/>
      <c r="F96" s="28"/>
      <c r="G96" s="28"/>
      <c r="H96" s="66"/>
      <c r="I96" s="66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28"/>
      <c r="B97" s="28"/>
      <c r="C97" s="28"/>
      <c r="D97" s="28"/>
      <c r="E97" s="28"/>
      <c r="F97" s="28"/>
      <c r="G97" s="28"/>
      <c r="H97" s="66"/>
      <c r="I97" s="66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28"/>
      <c r="B98" s="28"/>
      <c r="C98" s="28"/>
      <c r="D98" s="28"/>
      <c r="E98" s="28"/>
      <c r="F98" s="28"/>
      <c r="G98" s="28"/>
      <c r="H98" s="66"/>
      <c r="I98" s="66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28"/>
      <c r="B99" s="28"/>
      <c r="C99" s="28"/>
      <c r="D99" s="28"/>
      <c r="E99" s="28"/>
      <c r="F99" s="28"/>
      <c r="G99" s="28"/>
      <c r="H99" s="66"/>
      <c r="I99" s="66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28"/>
      <c r="B100" s="28"/>
      <c r="C100" s="28"/>
      <c r="D100" s="28"/>
      <c r="E100" s="28"/>
      <c r="F100" s="28"/>
      <c r="G100" s="28"/>
      <c r="H100" s="66"/>
      <c r="I100" s="66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28"/>
      <c r="B101" s="28"/>
      <c r="C101" s="28"/>
      <c r="D101" s="28"/>
      <c r="E101" s="28"/>
      <c r="F101" s="28"/>
      <c r="G101" s="28"/>
      <c r="H101" s="66"/>
      <c r="I101" s="66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28"/>
      <c r="B102" s="28"/>
      <c r="C102" s="28"/>
      <c r="D102" s="28"/>
      <c r="E102" s="28"/>
      <c r="F102" s="28"/>
      <c r="G102" s="28"/>
      <c r="H102" s="66"/>
      <c r="I102" s="66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28"/>
      <c r="B103" s="28"/>
      <c r="C103" s="28"/>
      <c r="D103" s="28"/>
      <c r="E103" s="28"/>
      <c r="F103" s="28"/>
      <c r="G103" s="28"/>
      <c r="H103" s="66"/>
      <c r="I103" s="66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28"/>
      <c r="B104" s="28"/>
      <c r="C104" s="28"/>
      <c r="D104" s="28"/>
      <c r="E104" s="28"/>
      <c r="F104" s="28"/>
      <c r="G104" s="28"/>
      <c r="H104" s="66"/>
      <c r="I104" s="66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28"/>
      <c r="B105" s="28"/>
      <c r="C105" s="28"/>
      <c r="D105" s="28"/>
      <c r="E105" s="28"/>
      <c r="F105" s="28"/>
      <c r="G105" s="28"/>
      <c r="H105" s="66"/>
      <c r="I105" s="66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28"/>
      <c r="B106" s="28"/>
      <c r="C106" s="28"/>
      <c r="D106" s="28"/>
      <c r="E106" s="28"/>
      <c r="F106" s="28"/>
      <c r="G106" s="28"/>
      <c r="H106" s="66"/>
      <c r="I106" s="66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28"/>
      <c r="B107" s="28"/>
      <c r="C107" s="28"/>
      <c r="D107" s="28"/>
      <c r="E107" s="28"/>
      <c r="F107" s="28"/>
      <c r="G107" s="28"/>
      <c r="H107" s="66"/>
      <c r="I107" s="66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28"/>
      <c r="B108" s="28"/>
      <c r="C108" s="28"/>
      <c r="D108" s="28"/>
      <c r="E108" s="28"/>
      <c r="F108" s="28"/>
      <c r="G108" s="28"/>
      <c r="H108" s="66"/>
      <c r="I108" s="66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28"/>
      <c r="B109" s="28"/>
      <c r="C109" s="28"/>
      <c r="D109" s="28"/>
      <c r="E109" s="28"/>
      <c r="F109" s="28"/>
      <c r="G109" s="28"/>
      <c r="H109" s="66"/>
      <c r="I109" s="66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28"/>
      <c r="B110" s="28"/>
      <c r="C110" s="28"/>
      <c r="D110" s="28"/>
      <c r="E110" s="28"/>
      <c r="F110" s="28"/>
      <c r="G110" s="28"/>
      <c r="H110" s="66"/>
      <c r="I110" s="66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66"/>
      <c r="I111" s="66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66"/>
      <c r="I112" s="66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66"/>
      <c r="I113" s="66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66"/>
      <c r="I114" s="66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66"/>
      <c r="I115" s="66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66"/>
      <c r="I116" s="66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66"/>
      <c r="I117" s="66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66"/>
      <c r="I118" s="6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66"/>
      <c r="I119" s="6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66"/>
      <c r="I120" s="6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66"/>
      <c r="I121" s="6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66"/>
      <c r="I122" s="6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66"/>
      <c r="I123" s="6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66"/>
      <c r="I124" s="6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66"/>
      <c r="I125" s="6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66"/>
      <c r="I126" s="6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66"/>
      <c r="I127" s="6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66"/>
      <c r="I128" s="6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66"/>
      <c r="I129" s="6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66"/>
      <c r="I130" s="6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66"/>
      <c r="I131" s="66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66"/>
      <c r="I132" s="66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66"/>
      <c r="I133" s="66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66"/>
      <c r="I134" s="66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66"/>
      <c r="I135" s="66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66"/>
      <c r="I136" s="66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66"/>
      <c r="I137" s="66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66"/>
      <c r="I138" s="66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66"/>
      <c r="I139" s="66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66"/>
      <c r="I140" s="66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66"/>
      <c r="I141" s="66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66"/>
      <c r="I142" s="66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66"/>
      <c r="I143" s="66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66"/>
      <c r="I144" s="66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66"/>
      <c r="I145" s="66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>
      <c r="A146" s="28"/>
      <c r="B146" s="28"/>
      <c r="C146" s="28"/>
      <c r="D146" s="28"/>
      <c r="E146" s="28"/>
      <c r="F146" s="28"/>
      <c r="G146" s="28"/>
      <c r="H146" s="66"/>
      <c r="I146" s="66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>
      <c r="A147" s="28"/>
      <c r="B147" s="28"/>
      <c r="C147" s="28"/>
      <c r="D147" s="28"/>
      <c r="E147" s="28"/>
      <c r="F147" s="28"/>
      <c r="G147" s="28"/>
      <c r="H147" s="66"/>
      <c r="I147" s="66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28"/>
      <c r="G148" s="28"/>
      <c r="H148" s="66"/>
      <c r="I148" s="66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28"/>
      <c r="G149" s="28"/>
      <c r="H149" s="66"/>
      <c r="I149" s="66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28"/>
      <c r="B150" s="28"/>
      <c r="C150" s="28"/>
      <c r="D150" s="28"/>
      <c r="E150" s="28"/>
      <c r="F150" s="28"/>
      <c r="G150" s="28"/>
      <c r="H150" s="66"/>
      <c r="I150" s="66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28"/>
      <c r="G151" s="28"/>
      <c r="H151" s="66"/>
      <c r="I151" s="66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28"/>
      <c r="G152" s="28"/>
      <c r="H152" s="66"/>
      <c r="I152" s="66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28"/>
      <c r="G153" s="28"/>
      <c r="H153" s="66"/>
      <c r="I153" s="66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28"/>
      <c r="G154" s="28"/>
      <c r="H154" s="66"/>
      <c r="I154" s="66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28"/>
      <c r="G155" s="28"/>
      <c r="H155" s="66"/>
      <c r="I155" s="66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28"/>
      <c r="G156" s="28"/>
      <c r="H156" s="66"/>
      <c r="I156" s="66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28"/>
      <c r="G157" s="28"/>
      <c r="H157" s="66"/>
      <c r="I157" s="66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28"/>
      <c r="G158" s="28"/>
      <c r="H158" s="66"/>
      <c r="I158" s="66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28"/>
      <c r="G159" s="28"/>
      <c r="H159" s="66"/>
      <c r="I159" s="66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28"/>
      <c r="G160" s="28"/>
      <c r="H160" s="66"/>
      <c r="I160" s="66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28"/>
      <c r="G161" s="28"/>
      <c r="H161" s="66"/>
      <c r="I161" s="66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28"/>
      <c r="G162" s="28"/>
      <c r="H162" s="66"/>
      <c r="I162" s="66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28"/>
      <c r="G163" s="28"/>
      <c r="H163" s="66"/>
      <c r="I163" s="66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28"/>
      <c r="G164" s="28"/>
      <c r="H164" s="66"/>
      <c r="I164" s="66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28"/>
      <c r="G165" s="28"/>
      <c r="H165" s="66"/>
      <c r="I165" s="66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28"/>
      <c r="G166" s="28"/>
      <c r="H166" s="66"/>
      <c r="I166" s="66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28"/>
      <c r="G167" s="28"/>
      <c r="H167" s="66"/>
      <c r="I167" s="66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28"/>
      <c r="G168" s="28"/>
      <c r="H168" s="66"/>
      <c r="I168" s="66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28"/>
      <c r="G169" s="28"/>
      <c r="H169" s="66"/>
      <c r="I169" s="66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28"/>
      <c r="G170" s="28"/>
      <c r="H170" s="66"/>
      <c r="I170" s="66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28"/>
      <c r="G171" s="28"/>
      <c r="H171" s="66"/>
      <c r="I171" s="66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28"/>
      <c r="G172" s="28"/>
      <c r="H172" s="66"/>
      <c r="I172" s="66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28"/>
      <c r="G173" s="28"/>
      <c r="H173" s="66"/>
      <c r="I173" s="66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28"/>
      <c r="G174" s="28"/>
      <c r="H174" s="66"/>
      <c r="I174" s="66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28"/>
      <c r="G175" s="28"/>
      <c r="H175" s="66"/>
      <c r="I175" s="66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28"/>
      <c r="G176" s="28"/>
      <c r="H176" s="66"/>
      <c r="I176" s="66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28"/>
      <c r="G177" s="28"/>
      <c r="H177" s="66"/>
      <c r="I177" s="66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28"/>
      <c r="G178" s="28"/>
      <c r="H178" s="66"/>
      <c r="I178" s="66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28"/>
      <c r="G179" s="28"/>
      <c r="H179" s="66"/>
      <c r="I179" s="66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28"/>
      <c r="G180" s="28"/>
      <c r="H180" s="66"/>
      <c r="I180" s="66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28"/>
      <c r="G181" s="28"/>
      <c r="H181" s="66"/>
      <c r="I181" s="66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28"/>
      <c r="G182" s="28"/>
      <c r="H182" s="66"/>
      <c r="I182" s="66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28"/>
      <c r="G183" s="28"/>
      <c r="H183" s="66"/>
      <c r="I183" s="66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28"/>
      <c r="G184" s="28"/>
      <c r="H184" s="66"/>
      <c r="I184" s="66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28"/>
      <c r="G185" s="28"/>
      <c r="H185" s="66"/>
      <c r="I185" s="66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28"/>
      <c r="G186" s="28"/>
      <c r="H186" s="66"/>
      <c r="I186" s="66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28"/>
      <c r="G187" s="28"/>
      <c r="H187" s="66"/>
      <c r="I187" s="66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28"/>
      <c r="G188" s="28"/>
      <c r="H188" s="66"/>
      <c r="I188" s="66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28"/>
      <c r="G189" s="28"/>
      <c r="H189" s="66"/>
      <c r="I189" s="66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28"/>
      <c r="G190" s="28"/>
      <c r="H190" s="66"/>
      <c r="I190" s="66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28"/>
      <c r="G191" s="28"/>
      <c r="H191" s="66"/>
      <c r="I191" s="66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28"/>
      <c r="G192" s="28"/>
      <c r="H192" s="66"/>
      <c r="I192" s="66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28"/>
      <c r="G193" s="28"/>
      <c r="H193" s="66"/>
      <c r="I193" s="66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28"/>
      <c r="G194" s="28"/>
      <c r="H194" s="66"/>
      <c r="I194" s="66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28"/>
      <c r="G195" s="28"/>
      <c r="H195" s="66"/>
      <c r="I195" s="66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28"/>
      <c r="G196" s="28"/>
      <c r="H196" s="66"/>
      <c r="I196" s="66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28"/>
      <c r="G197" s="28"/>
      <c r="H197" s="66"/>
      <c r="I197" s="66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28"/>
      <c r="G198" s="28"/>
      <c r="H198" s="66"/>
      <c r="I198" s="66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28"/>
      <c r="G199" s="28"/>
      <c r="H199" s="66"/>
      <c r="I199" s="66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28"/>
      <c r="G200" s="28"/>
      <c r="H200" s="66"/>
      <c r="I200" s="66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28"/>
      <c r="G201" s="28"/>
      <c r="H201" s="66"/>
      <c r="I201" s="66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28"/>
      <c r="G202" s="28"/>
      <c r="H202" s="66"/>
      <c r="I202" s="66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28"/>
      <c r="G203" s="28"/>
      <c r="H203" s="66"/>
      <c r="I203" s="66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28"/>
      <c r="G204" s="28"/>
      <c r="H204" s="66"/>
      <c r="I204" s="66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28"/>
      <c r="G205" s="28"/>
      <c r="H205" s="66"/>
      <c r="I205" s="66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28"/>
      <c r="G206" s="28"/>
      <c r="H206" s="66"/>
      <c r="I206" s="66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28"/>
      <c r="G207" s="28"/>
      <c r="H207" s="66"/>
      <c r="I207" s="66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28"/>
      <c r="G208" s="28"/>
      <c r="H208" s="66"/>
      <c r="I208" s="66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28"/>
      <c r="G209" s="28"/>
      <c r="H209" s="66"/>
      <c r="I209" s="66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28"/>
      <c r="G210" s="28"/>
      <c r="H210" s="66"/>
      <c r="I210" s="66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28"/>
      <c r="G211" s="28"/>
      <c r="H211" s="66"/>
      <c r="I211" s="66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28"/>
      <c r="G212" s="28"/>
      <c r="H212" s="66"/>
      <c r="I212" s="66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28"/>
      <c r="G213" s="28"/>
      <c r="H213" s="66"/>
      <c r="I213" s="66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28"/>
      <c r="G214" s="28"/>
      <c r="H214" s="66"/>
      <c r="I214" s="66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28"/>
      <c r="G215" s="28"/>
      <c r="H215" s="66"/>
      <c r="I215" s="66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28"/>
      <c r="G216" s="28"/>
      <c r="H216" s="66"/>
      <c r="I216" s="66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28"/>
      <c r="G217" s="28"/>
      <c r="H217" s="66"/>
      <c r="I217" s="66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28"/>
      <c r="G218" s="28"/>
      <c r="H218" s="66"/>
      <c r="I218" s="66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28"/>
      <c r="G219" s="28"/>
      <c r="H219" s="66"/>
      <c r="I219" s="66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28"/>
      <c r="G220" s="28"/>
      <c r="H220" s="66"/>
      <c r="I220" s="66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28"/>
      <c r="G221" s="28"/>
      <c r="H221" s="66"/>
      <c r="I221" s="66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28"/>
      <c r="G222" s="28"/>
      <c r="H222" s="66"/>
      <c r="I222" s="66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28"/>
      <c r="G223" s="28"/>
      <c r="H223" s="66"/>
      <c r="I223" s="66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28"/>
      <c r="G224" s="28"/>
      <c r="H224" s="66"/>
      <c r="I224" s="66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28"/>
      <c r="G225" s="28"/>
      <c r="H225" s="66"/>
      <c r="I225" s="66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28"/>
      <c r="G226" s="28"/>
      <c r="H226" s="66"/>
      <c r="I226" s="66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28"/>
      <c r="G227" s="28"/>
      <c r="H227" s="66"/>
      <c r="I227" s="66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28"/>
      <c r="G228" s="28"/>
      <c r="H228" s="66"/>
      <c r="I228" s="66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28"/>
      <c r="G229" s="28"/>
      <c r="H229" s="66"/>
      <c r="I229" s="66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28"/>
      <c r="G230" s="28"/>
      <c r="H230" s="66"/>
      <c r="I230" s="66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28"/>
      <c r="G231" s="28"/>
      <c r="H231" s="66"/>
      <c r="I231" s="66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28"/>
      <c r="G232" s="28"/>
      <c r="H232" s="66"/>
      <c r="I232" s="66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28"/>
      <c r="G233" s="28"/>
      <c r="H233" s="66"/>
      <c r="I233" s="66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28"/>
      <c r="G234" s="28"/>
      <c r="H234" s="66"/>
      <c r="I234" s="66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28"/>
      <c r="G235" s="28"/>
      <c r="H235" s="66"/>
      <c r="I235" s="66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28"/>
      <c r="G236" s="28"/>
      <c r="H236" s="66"/>
      <c r="I236" s="66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28"/>
      <c r="G237" s="28"/>
      <c r="H237" s="66"/>
      <c r="I237" s="66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28"/>
      <c r="G238" s="28"/>
      <c r="H238" s="66"/>
      <c r="I238" s="66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28"/>
      <c r="G239" s="28"/>
      <c r="H239" s="66"/>
      <c r="I239" s="66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28"/>
      <c r="G240" s="28"/>
      <c r="H240" s="66"/>
      <c r="I240" s="66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28"/>
      <c r="G241" s="28"/>
      <c r="H241" s="66"/>
      <c r="I241" s="66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28"/>
      <c r="G242" s="28"/>
      <c r="H242" s="66"/>
      <c r="I242" s="66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28"/>
      <c r="G243" s="28"/>
      <c r="H243" s="66"/>
      <c r="I243" s="66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28"/>
      <c r="G244" s="28"/>
      <c r="H244" s="66"/>
      <c r="I244" s="66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28"/>
      <c r="G245" s="28"/>
      <c r="H245" s="66"/>
      <c r="I245" s="66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28"/>
      <c r="G246" s="28"/>
      <c r="H246" s="66"/>
      <c r="I246" s="66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28"/>
      <c r="G247" s="28"/>
      <c r="H247" s="66"/>
      <c r="I247" s="66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28"/>
      <c r="G248" s="28"/>
      <c r="H248" s="66"/>
      <c r="I248" s="66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28"/>
      <c r="G249" s="28"/>
      <c r="H249" s="66"/>
      <c r="I249" s="66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28"/>
      <c r="G250" s="28"/>
      <c r="H250" s="66"/>
      <c r="I250" s="66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28"/>
      <c r="G251" s="28"/>
      <c r="H251" s="66"/>
      <c r="I251" s="66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28"/>
      <c r="G252" s="28"/>
      <c r="H252" s="66"/>
      <c r="I252" s="66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28"/>
      <c r="G253" s="28"/>
      <c r="H253" s="66"/>
      <c r="I253" s="66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28"/>
      <c r="G254" s="28"/>
      <c r="H254" s="66"/>
      <c r="I254" s="66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28"/>
      <c r="G255" s="28"/>
      <c r="H255" s="66"/>
      <c r="I255" s="66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28"/>
      <c r="G256" s="28"/>
      <c r="H256" s="66"/>
      <c r="I256" s="66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28"/>
      <c r="G257" s="28"/>
      <c r="H257" s="66"/>
      <c r="I257" s="66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28"/>
      <c r="G258" s="28"/>
      <c r="H258" s="66"/>
      <c r="I258" s="66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28"/>
      <c r="G259" s="28"/>
      <c r="H259" s="66"/>
      <c r="I259" s="66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28"/>
      <c r="G260" s="28"/>
      <c r="H260" s="66"/>
      <c r="I260" s="66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28"/>
      <c r="G261" s="28"/>
      <c r="H261" s="66"/>
      <c r="I261" s="66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28"/>
      <c r="G262" s="28"/>
      <c r="H262" s="66"/>
      <c r="I262" s="66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28"/>
      <c r="G263" s="28"/>
      <c r="H263" s="66"/>
      <c r="I263" s="66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28"/>
      <c r="G264" s="28"/>
      <c r="H264" s="66"/>
      <c r="I264" s="66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28"/>
      <c r="G265" s="28"/>
      <c r="H265" s="66"/>
      <c r="I265" s="66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28"/>
      <c r="G266" s="28"/>
      <c r="H266" s="66"/>
      <c r="I266" s="66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28"/>
      <c r="G267" s="28"/>
      <c r="H267" s="66"/>
      <c r="I267" s="66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28"/>
      <c r="G268" s="28"/>
      <c r="H268" s="66"/>
      <c r="I268" s="66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28"/>
      <c r="G269" s="28"/>
      <c r="H269" s="66"/>
      <c r="I269" s="66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28"/>
      <c r="G270" s="28"/>
      <c r="H270" s="66"/>
      <c r="I270" s="66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28"/>
      <c r="G271" s="28"/>
      <c r="H271" s="66"/>
      <c r="I271" s="66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28"/>
      <c r="G272" s="28"/>
      <c r="H272" s="66"/>
      <c r="I272" s="66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28"/>
      <c r="G273" s="28"/>
      <c r="H273" s="66"/>
      <c r="I273" s="66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28"/>
      <c r="G274" s="28"/>
      <c r="H274" s="66"/>
      <c r="I274" s="66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28"/>
      <c r="G275" s="28"/>
      <c r="H275" s="66"/>
      <c r="I275" s="66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28"/>
      <c r="G276" s="28"/>
      <c r="H276" s="66"/>
      <c r="I276" s="66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28"/>
      <c r="G277" s="28"/>
      <c r="H277" s="66"/>
      <c r="I277" s="66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28"/>
      <c r="G278" s="28"/>
      <c r="H278" s="66"/>
      <c r="I278" s="66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28"/>
      <c r="G279" s="28"/>
      <c r="H279" s="66"/>
      <c r="I279" s="66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28"/>
      <c r="G280" s="28"/>
      <c r="H280" s="66"/>
      <c r="I280" s="66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28"/>
      <c r="G281" s="28"/>
      <c r="H281" s="66"/>
      <c r="I281" s="66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28"/>
      <c r="G282" s="28"/>
      <c r="H282" s="66"/>
      <c r="I282" s="66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28"/>
      <c r="G283" s="28"/>
      <c r="H283" s="66"/>
      <c r="I283" s="66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28"/>
      <c r="G284" s="28"/>
      <c r="H284" s="66"/>
      <c r="I284" s="66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28"/>
      <c r="G285" s="28"/>
      <c r="H285" s="66"/>
      <c r="I285" s="66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28"/>
      <c r="G286" s="28"/>
      <c r="H286" s="66"/>
      <c r="I286" s="66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28"/>
      <c r="G287" s="28"/>
      <c r="H287" s="66"/>
      <c r="I287" s="66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28"/>
      <c r="G288" s="28"/>
      <c r="H288" s="66"/>
      <c r="I288" s="66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28"/>
      <c r="G289" s="28"/>
      <c r="H289" s="66"/>
      <c r="I289" s="66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28"/>
      <c r="G290" s="28"/>
      <c r="H290" s="66"/>
      <c r="I290" s="66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28"/>
      <c r="G291" s="28"/>
      <c r="H291" s="66"/>
      <c r="I291" s="66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28"/>
      <c r="G292" s="28"/>
      <c r="H292" s="66"/>
      <c r="I292" s="66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28"/>
      <c r="G293" s="28"/>
      <c r="H293" s="66"/>
      <c r="I293" s="66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28"/>
      <c r="G294" s="28"/>
      <c r="H294" s="66"/>
      <c r="I294" s="66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28"/>
      <c r="G295" s="28"/>
      <c r="H295" s="66"/>
      <c r="I295" s="66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28"/>
      <c r="G296" s="28"/>
      <c r="H296" s="66"/>
      <c r="I296" s="66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28"/>
      <c r="G297" s="28"/>
      <c r="H297" s="66"/>
      <c r="I297" s="66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28"/>
      <c r="G298" s="28"/>
      <c r="H298" s="66"/>
      <c r="I298" s="66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28"/>
      <c r="G299" s="28"/>
      <c r="H299" s="66"/>
      <c r="I299" s="66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28"/>
      <c r="G300" s="28"/>
      <c r="H300" s="66"/>
      <c r="I300" s="66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28"/>
      <c r="G301" s="28"/>
      <c r="H301" s="66"/>
      <c r="I301" s="66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28"/>
      <c r="G302" s="28"/>
      <c r="H302" s="66"/>
      <c r="I302" s="66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28"/>
      <c r="G303" s="28"/>
      <c r="H303" s="66"/>
      <c r="I303" s="66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28"/>
      <c r="G304" s="28"/>
      <c r="H304" s="66"/>
      <c r="I304" s="66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28"/>
      <c r="G305" s="28"/>
      <c r="H305" s="66"/>
      <c r="I305" s="66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28"/>
      <c r="G306" s="28"/>
      <c r="H306" s="66"/>
      <c r="I306" s="66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28"/>
      <c r="G307" s="28"/>
      <c r="H307" s="66"/>
      <c r="I307" s="66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28"/>
      <c r="G308" s="28"/>
      <c r="H308" s="66"/>
      <c r="I308" s="66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28"/>
      <c r="G309" s="28"/>
      <c r="H309" s="66"/>
      <c r="I309" s="66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28"/>
      <c r="G310" s="28"/>
      <c r="H310" s="66"/>
      <c r="I310" s="66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28"/>
      <c r="G311" s="28"/>
      <c r="H311" s="66"/>
      <c r="I311" s="66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28"/>
      <c r="G312" s="28"/>
      <c r="H312" s="66"/>
      <c r="I312" s="66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28"/>
      <c r="G313" s="28"/>
      <c r="H313" s="66"/>
      <c r="I313" s="66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28"/>
      <c r="G314" s="28"/>
      <c r="H314" s="66"/>
      <c r="I314" s="66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28"/>
      <c r="G315" s="28"/>
      <c r="H315" s="66"/>
      <c r="I315" s="66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28"/>
      <c r="G316" s="28"/>
      <c r="H316" s="66"/>
      <c r="I316" s="66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28"/>
      <c r="G317" s="28"/>
      <c r="H317" s="66"/>
      <c r="I317" s="66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28"/>
      <c r="G318" s="28"/>
      <c r="H318" s="66"/>
      <c r="I318" s="66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28"/>
      <c r="G319" s="28"/>
      <c r="H319" s="66"/>
      <c r="I319" s="66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28"/>
      <c r="G320" s="28"/>
      <c r="H320" s="66"/>
      <c r="I320" s="66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28"/>
      <c r="G321" s="28"/>
      <c r="H321" s="66"/>
      <c r="I321" s="66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28"/>
      <c r="G322" s="28"/>
      <c r="H322" s="66"/>
      <c r="I322" s="66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28"/>
      <c r="G323" s="28"/>
      <c r="H323" s="66"/>
      <c r="I323" s="66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28"/>
      <c r="G324" s="28"/>
      <c r="H324" s="66"/>
      <c r="I324" s="66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28"/>
      <c r="G325" s="28"/>
      <c r="H325" s="66"/>
      <c r="I325" s="66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28"/>
      <c r="G326" s="28"/>
      <c r="H326" s="66"/>
      <c r="I326" s="66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28"/>
      <c r="G327" s="28"/>
      <c r="H327" s="66"/>
      <c r="I327" s="66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28"/>
      <c r="G328" s="28"/>
      <c r="H328" s="66"/>
      <c r="I328" s="66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28"/>
      <c r="G329" s="28"/>
      <c r="H329" s="66"/>
      <c r="I329" s="66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28"/>
      <c r="G330" s="28"/>
      <c r="H330" s="66"/>
      <c r="I330" s="66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28"/>
      <c r="G331" s="28"/>
      <c r="H331" s="66"/>
      <c r="I331" s="66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28"/>
      <c r="G332" s="28"/>
      <c r="H332" s="66"/>
      <c r="I332" s="66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28"/>
      <c r="G333" s="28"/>
      <c r="H333" s="66"/>
      <c r="I333" s="66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28"/>
      <c r="G334" s="28"/>
      <c r="H334" s="66"/>
      <c r="I334" s="66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28"/>
      <c r="G335" s="28"/>
      <c r="H335" s="66"/>
      <c r="I335" s="66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28"/>
      <c r="G336" s="28"/>
      <c r="H336" s="66"/>
      <c r="I336" s="66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28"/>
      <c r="G337" s="28"/>
      <c r="H337" s="66"/>
      <c r="I337" s="66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28"/>
      <c r="G338" s="28"/>
      <c r="H338" s="66"/>
      <c r="I338" s="66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28"/>
      <c r="G339" s="28"/>
      <c r="H339" s="66"/>
      <c r="I339" s="66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28"/>
      <c r="G340" s="28"/>
      <c r="H340" s="66"/>
      <c r="I340" s="66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28"/>
      <c r="G341" s="28"/>
      <c r="H341" s="66"/>
      <c r="I341" s="66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28"/>
      <c r="G342" s="28"/>
      <c r="H342" s="66"/>
      <c r="I342" s="66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28"/>
      <c r="G343" s="28"/>
      <c r="H343" s="66"/>
      <c r="I343" s="66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28"/>
      <c r="G344" s="28"/>
      <c r="H344" s="66"/>
      <c r="I344" s="66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28"/>
      <c r="G345" s="28"/>
      <c r="H345" s="66"/>
      <c r="I345" s="66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28"/>
      <c r="G346" s="28"/>
      <c r="H346" s="66"/>
      <c r="I346" s="66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28"/>
      <c r="G347" s="28"/>
      <c r="H347" s="66"/>
      <c r="I347" s="66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28"/>
      <c r="G348" s="28"/>
      <c r="H348" s="66"/>
      <c r="I348" s="66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28"/>
      <c r="G349" s="28"/>
      <c r="H349" s="66"/>
      <c r="I349" s="66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28"/>
      <c r="G350" s="28"/>
      <c r="H350" s="66"/>
      <c r="I350" s="66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28"/>
      <c r="G351" s="28"/>
      <c r="H351" s="66"/>
      <c r="I351" s="66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28"/>
      <c r="G352" s="28"/>
      <c r="H352" s="66"/>
      <c r="I352" s="66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28"/>
      <c r="G353" s="28"/>
      <c r="H353" s="66"/>
      <c r="I353" s="66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28"/>
      <c r="G354" s="28"/>
      <c r="H354" s="66"/>
      <c r="I354" s="66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28"/>
      <c r="G355" s="28"/>
      <c r="H355" s="66"/>
      <c r="I355" s="66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28"/>
      <c r="G356" s="28"/>
      <c r="H356" s="66"/>
      <c r="I356" s="66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28"/>
      <c r="G357" s="28"/>
      <c r="H357" s="66"/>
      <c r="I357" s="66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28"/>
      <c r="G358" s="28"/>
      <c r="H358" s="66"/>
      <c r="I358" s="66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28"/>
      <c r="G359" s="28"/>
      <c r="H359" s="66"/>
      <c r="I359" s="66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28"/>
      <c r="G360" s="28"/>
      <c r="H360" s="66"/>
      <c r="I360" s="66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28"/>
      <c r="G361" s="28"/>
      <c r="H361" s="66"/>
      <c r="I361" s="66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28"/>
      <c r="G362" s="28"/>
      <c r="H362" s="66"/>
      <c r="I362" s="66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28"/>
      <c r="G363" s="28"/>
      <c r="H363" s="66"/>
      <c r="I363" s="66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28"/>
      <c r="G364" s="28"/>
      <c r="H364" s="66"/>
      <c r="I364" s="66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28"/>
      <c r="G365" s="28"/>
      <c r="H365" s="66"/>
      <c r="I365" s="66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28"/>
      <c r="G366" s="28"/>
      <c r="H366" s="66"/>
      <c r="I366" s="66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28"/>
      <c r="G367" s="28"/>
      <c r="H367" s="66"/>
      <c r="I367" s="66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28"/>
      <c r="G368" s="28"/>
      <c r="H368" s="66"/>
      <c r="I368" s="66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28"/>
      <c r="G369" s="28"/>
      <c r="H369" s="66"/>
      <c r="I369" s="66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28"/>
      <c r="G370" s="28"/>
      <c r="H370" s="66"/>
      <c r="I370" s="66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28"/>
      <c r="G371" s="28"/>
      <c r="H371" s="66"/>
      <c r="I371" s="66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28"/>
      <c r="G372" s="28"/>
      <c r="H372" s="66"/>
      <c r="I372" s="66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28"/>
      <c r="G373" s="28"/>
      <c r="H373" s="66"/>
      <c r="I373" s="66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28"/>
      <c r="G374" s="28"/>
      <c r="H374" s="66"/>
      <c r="I374" s="66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28"/>
      <c r="G375" s="28"/>
      <c r="H375" s="66"/>
      <c r="I375" s="66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28"/>
      <c r="G376" s="28"/>
      <c r="H376" s="66"/>
      <c r="I376" s="66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28"/>
      <c r="G377" s="28"/>
      <c r="H377" s="66"/>
      <c r="I377" s="66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28"/>
      <c r="G378" s="28"/>
      <c r="H378" s="66"/>
      <c r="I378" s="66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28"/>
      <c r="G379" s="28"/>
      <c r="H379" s="66"/>
      <c r="I379" s="66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28"/>
      <c r="G380" s="28"/>
      <c r="H380" s="66"/>
      <c r="I380" s="66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28"/>
      <c r="G381" s="28"/>
      <c r="H381" s="66"/>
      <c r="I381" s="66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28"/>
      <c r="G382" s="28"/>
      <c r="H382" s="66"/>
      <c r="I382" s="66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28"/>
      <c r="G383" s="28"/>
      <c r="H383" s="66"/>
      <c r="I383" s="66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28"/>
      <c r="G384" s="28"/>
      <c r="H384" s="66"/>
      <c r="I384" s="66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28"/>
      <c r="G385" s="28"/>
      <c r="H385" s="66"/>
      <c r="I385" s="66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28"/>
      <c r="G386" s="28"/>
      <c r="H386" s="66"/>
      <c r="I386" s="66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28"/>
      <c r="G387" s="28"/>
      <c r="H387" s="66"/>
      <c r="I387" s="66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28"/>
      <c r="G388" s="28"/>
      <c r="H388" s="66"/>
      <c r="I388" s="66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28"/>
      <c r="G389" s="28"/>
      <c r="H389" s="66"/>
      <c r="I389" s="66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28"/>
      <c r="G390" s="28"/>
      <c r="H390" s="66"/>
      <c r="I390" s="66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28"/>
      <c r="G391" s="28"/>
      <c r="H391" s="66"/>
      <c r="I391" s="66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28"/>
      <c r="G392" s="28"/>
      <c r="H392" s="66"/>
      <c r="I392" s="66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28"/>
      <c r="G393" s="28"/>
      <c r="H393" s="66"/>
      <c r="I393" s="66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28"/>
      <c r="G394" s="28"/>
      <c r="H394" s="66"/>
      <c r="I394" s="66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28"/>
      <c r="G395" s="28"/>
      <c r="H395" s="66"/>
      <c r="I395" s="66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28"/>
      <c r="G396" s="28"/>
      <c r="H396" s="66"/>
      <c r="I396" s="66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28"/>
      <c r="G397" s="28"/>
      <c r="H397" s="66"/>
      <c r="I397" s="66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28"/>
      <c r="G398" s="28"/>
      <c r="H398" s="66"/>
      <c r="I398" s="66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28"/>
      <c r="G399" s="28"/>
      <c r="H399" s="66"/>
      <c r="I399" s="66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28"/>
      <c r="G400" s="28"/>
      <c r="H400" s="66"/>
      <c r="I400" s="66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28"/>
      <c r="G401" s="28"/>
      <c r="H401" s="66"/>
      <c r="I401" s="66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28"/>
      <c r="G402" s="28"/>
      <c r="H402" s="66"/>
      <c r="I402" s="66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28"/>
      <c r="G403" s="28"/>
      <c r="H403" s="66"/>
      <c r="I403" s="66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28"/>
      <c r="G404" s="28"/>
      <c r="H404" s="66"/>
      <c r="I404" s="66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28"/>
      <c r="G405" s="28"/>
      <c r="H405" s="66"/>
      <c r="I405" s="66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28"/>
      <c r="G406" s="28"/>
      <c r="H406" s="66"/>
      <c r="I406" s="66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28"/>
      <c r="G407" s="28"/>
      <c r="H407" s="66"/>
      <c r="I407" s="66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28"/>
      <c r="G408" s="28"/>
      <c r="H408" s="66"/>
      <c r="I408" s="66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28"/>
      <c r="G409" s="28"/>
      <c r="H409" s="66"/>
      <c r="I409" s="66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28"/>
      <c r="G410" s="28"/>
      <c r="H410" s="66"/>
      <c r="I410" s="66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28"/>
      <c r="G411" s="28"/>
      <c r="H411" s="66"/>
      <c r="I411" s="66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28"/>
      <c r="G412" s="28"/>
      <c r="H412" s="66"/>
      <c r="I412" s="66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28"/>
      <c r="G413" s="28"/>
      <c r="H413" s="66"/>
      <c r="I413" s="66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28"/>
      <c r="G414" s="28"/>
      <c r="H414" s="66"/>
      <c r="I414" s="66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28"/>
      <c r="G415" s="28"/>
      <c r="H415" s="66"/>
      <c r="I415" s="66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28"/>
      <c r="G416" s="28"/>
      <c r="H416" s="66"/>
      <c r="I416" s="66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28"/>
      <c r="G417" s="28"/>
      <c r="H417" s="66"/>
      <c r="I417" s="66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28"/>
      <c r="G418" s="28"/>
      <c r="H418" s="66"/>
      <c r="I418" s="66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28"/>
      <c r="G419" s="28"/>
      <c r="H419" s="66"/>
      <c r="I419" s="66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28"/>
      <c r="G420" s="28"/>
      <c r="H420" s="66"/>
      <c r="I420" s="66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28"/>
      <c r="G421" s="28"/>
      <c r="H421" s="66"/>
      <c r="I421" s="66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28"/>
      <c r="G422" s="28"/>
      <c r="H422" s="66"/>
      <c r="I422" s="66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28"/>
      <c r="G423" s="28"/>
      <c r="H423" s="66"/>
      <c r="I423" s="66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28"/>
      <c r="G424" s="28"/>
      <c r="H424" s="66"/>
      <c r="I424" s="66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28"/>
      <c r="G425" s="28"/>
      <c r="H425" s="66"/>
      <c r="I425" s="66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28"/>
      <c r="G426" s="28"/>
      <c r="H426" s="66"/>
      <c r="I426" s="66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28"/>
      <c r="G427" s="28"/>
      <c r="H427" s="66"/>
      <c r="I427" s="66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28"/>
      <c r="G428" s="28"/>
      <c r="H428" s="66"/>
      <c r="I428" s="66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28"/>
      <c r="G429" s="28"/>
      <c r="H429" s="66"/>
      <c r="I429" s="66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28"/>
      <c r="G430" s="28"/>
      <c r="H430" s="66"/>
      <c r="I430" s="66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28"/>
      <c r="G431" s="28"/>
      <c r="H431" s="66"/>
      <c r="I431" s="66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28"/>
      <c r="G432" s="28"/>
      <c r="H432" s="66"/>
      <c r="I432" s="66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28"/>
      <c r="G433" s="28"/>
      <c r="H433" s="66"/>
      <c r="I433" s="66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28"/>
      <c r="G434" s="28"/>
      <c r="H434" s="66"/>
      <c r="I434" s="66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28"/>
      <c r="G435" s="28"/>
      <c r="H435" s="66"/>
      <c r="I435" s="66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28"/>
      <c r="G436" s="28"/>
      <c r="H436" s="66"/>
      <c r="I436" s="66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28"/>
      <c r="G437" s="28"/>
      <c r="H437" s="66"/>
      <c r="I437" s="66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28"/>
      <c r="G438" s="28"/>
      <c r="H438" s="66"/>
      <c r="I438" s="66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28"/>
      <c r="G439" s="28"/>
      <c r="H439" s="66"/>
      <c r="I439" s="66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28"/>
      <c r="G440" s="28"/>
      <c r="H440" s="66"/>
      <c r="I440" s="66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28"/>
      <c r="G441" s="28"/>
      <c r="H441" s="66"/>
      <c r="I441" s="66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28"/>
      <c r="G442" s="28"/>
      <c r="H442" s="66"/>
      <c r="I442" s="66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28"/>
      <c r="G443" s="28"/>
      <c r="H443" s="66"/>
      <c r="I443" s="66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28"/>
      <c r="G444" s="28"/>
      <c r="H444" s="66"/>
      <c r="I444" s="66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28"/>
      <c r="G445" s="28"/>
      <c r="H445" s="66"/>
      <c r="I445" s="66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28"/>
      <c r="G446" s="28"/>
      <c r="H446" s="66"/>
      <c r="I446" s="66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28"/>
      <c r="G447" s="28"/>
      <c r="H447" s="66"/>
      <c r="I447" s="66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28"/>
      <c r="G448" s="28"/>
      <c r="H448" s="66"/>
      <c r="I448" s="66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28"/>
      <c r="G449" s="28"/>
      <c r="H449" s="66"/>
      <c r="I449" s="66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28"/>
      <c r="G450" s="28"/>
      <c r="H450" s="66"/>
      <c r="I450" s="66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28"/>
      <c r="G451" s="28"/>
      <c r="H451" s="66"/>
      <c r="I451" s="66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28"/>
      <c r="G452" s="28"/>
      <c r="H452" s="66"/>
      <c r="I452" s="66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28"/>
      <c r="G453" s="28"/>
      <c r="H453" s="66"/>
      <c r="I453" s="66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28"/>
      <c r="G454" s="28"/>
      <c r="H454" s="66"/>
      <c r="I454" s="66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28"/>
      <c r="G455" s="28"/>
      <c r="H455" s="66"/>
      <c r="I455" s="66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28"/>
      <c r="G456" s="28"/>
      <c r="H456" s="66"/>
      <c r="I456" s="66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28"/>
      <c r="G457" s="28"/>
      <c r="H457" s="66"/>
      <c r="I457" s="66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28"/>
      <c r="G458" s="28"/>
      <c r="H458" s="66"/>
      <c r="I458" s="66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28"/>
      <c r="G459" s="28"/>
      <c r="H459" s="66"/>
      <c r="I459" s="66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28"/>
      <c r="G460" s="28"/>
      <c r="H460" s="66"/>
      <c r="I460" s="66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28"/>
      <c r="G461" s="28"/>
      <c r="H461" s="66"/>
      <c r="I461" s="66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28"/>
      <c r="G462" s="28"/>
      <c r="H462" s="66"/>
      <c r="I462" s="66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28"/>
      <c r="G463" s="28"/>
      <c r="H463" s="66"/>
      <c r="I463" s="66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28"/>
      <c r="G464" s="28"/>
      <c r="H464" s="66"/>
      <c r="I464" s="66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28"/>
      <c r="G465" s="28"/>
      <c r="H465" s="66"/>
      <c r="I465" s="66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28"/>
      <c r="G466" s="28"/>
      <c r="H466" s="66"/>
      <c r="I466" s="66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28"/>
      <c r="G467" s="28"/>
      <c r="H467" s="66"/>
      <c r="I467" s="66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28"/>
      <c r="G468" s="28"/>
      <c r="H468" s="66"/>
      <c r="I468" s="66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28"/>
      <c r="G469" s="28"/>
      <c r="H469" s="66"/>
      <c r="I469" s="66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28"/>
      <c r="G470" s="28"/>
      <c r="H470" s="66"/>
      <c r="I470" s="66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28"/>
      <c r="G471" s="28"/>
      <c r="H471" s="66"/>
      <c r="I471" s="66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28"/>
      <c r="G472" s="28"/>
      <c r="H472" s="66"/>
      <c r="I472" s="66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28"/>
      <c r="G473" s="28"/>
      <c r="H473" s="66"/>
      <c r="I473" s="66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28"/>
      <c r="G474" s="28"/>
      <c r="H474" s="66"/>
      <c r="I474" s="66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28"/>
      <c r="G475" s="28"/>
      <c r="H475" s="66"/>
      <c r="I475" s="66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28"/>
      <c r="G476" s="28"/>
      <c r="H476" s="66"/>
      <c r="I476" s="66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28"/>
      <c r="G477" s="28"/>
      <c r="H477" s="66"/>
      <c r="I477" s="66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28"/>
      <c r="G478" s="28"/>
      <c r="H478" s="66"/>
      <c r="I478" s="66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28"/>
      <c r="G479" s="28"/>
      <c r="H479" s="66"/>
      <c r="I479" s="66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28"/>
      <c r="G480" s="28"/>
      <c r="H480" s="66"/>
      <c r="I480" s="66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28"/>
      <c r="G481" s="28"/>
      <c r="H481" s="66"/>
      <c r="I481" s="66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28"/>
      <c r="G482" s="28"/>
      <c r="H482" s="66"/>
      <c r="I482" s="66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28"/>
      <c r="G483" s="28"/>
      <c r="H483" s="66"/>
      <c r="I483" s="66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28"/>
      <c r="G484" s="28"/>
      <c r="H484" s="66"/>
      <c r="I484" s="66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28"/>
      <c r="G485" s="28"/>
      <c r="H485" s="66"/>
      <c r="I485" s="66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28"/>
      <c r="G486" s="28"/>
      <c r="H486" s="66"/>
      <c r="I486" s="66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28"/>
      <c r="G487" s="28"/>
      <c r="H487" s="66"/>
      <c r="I487" s="66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28"/>
      <c r="G488" s="28"/>
      <c r="H488" s="66"/>
      <c r="I488" s="66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28"/>
      <c r="G489" s="28"/>
      <c r="H489" s="66"/>
      <c r="I489" s="66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28"/>
      <c r="G490" s="28"/>
      <c r="H490" s="66"/>
      <c r="I490" s="66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28"/>
      <c r="G491" s="28"/>
      <c r="H491" s="66"/>
      <c r="I491" s="66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28"/>
      <c r="G492" s="28"/>
      <c r="H492" s="66"/>
      <c r="I492" s="66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28"/>
      <c r="G493" s="28"/>
      <c r="H493" s="66"/>
      <c r="I493" s="66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28"/>
      <c r="G494" s="28"/>
      <c r="H494" s="66"/>
      <c r="I494" s="66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28"/>
      <c r="G495" s="28"/>
      <c r="H495" s="66"/>
      <c r="I495" s="66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28"/>
      <c r="G496" s="28"/>
      <c r="H496" s="66"/>
      <c r="I496" s="66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28"/>
      <c r="G497" s="28"/>
      <c r="H497" s="66"/>
      <c r="I497" s="66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28"/>
      <c r="G498" s="28"/>
      <c r="H498" s="66"/>
      <c r="I498" s="66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28"/>
      <c r="G499" s="28"/>
      <c r="H499" s="66"/>
      <c r="I499" s="66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28"/>
      <c r="G500" s="28"/>
      <c r="H500" s="66"/>
      <c r="I500" s="66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28"/>
      <c r="G501" s="28"/>
      <c r="H501" s="66"/>
      <c r="I501" s="66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28"/>
      <c r="G502" s="28"/>
      <c r="H502" s="66"/>
      <c r="I502" s="66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28"/>
      <c r="G503" s="28"/>
      <c r="H503" s="66"/>
      <c r="I503" s="66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28"/>
      <c r="G504" s="28"/>
      <c r="H504" s="66"/>
      <c r="I504" s="66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28"/>
      <c r="G505" s="28"/>
      <c r="H505" s="66"/>
      <c r="I505" s="66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28"/>
      <c r="G506" s="28"/>
      <c r="H506" s="66"/>
      <c r="I506" s="66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28"/>
      <c r="G507" s="28"/>
      <c r="H507" s="66"/>
      <c r="I507" s="66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28"/>
      <c r="G508" s="28"/>
      <c r="H508" s="66"/>
      <c r="I508" s="66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28"/>
      <c r="G509" s="28"/>
      <c r="H509" s="66"/>
      <c r="I509" s="66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28"/>
      <c r="G510" s="28"/>
      <c r="H510" s="66"/>
      <c r="I510" s="66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28"/>
      <c r="G511" s="28"/>
      <c r="H511" s="66"/>
      <c r="I511" s="66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28"/>
      <c r="G512" s="28"/>
      <c r="H512" s="66"/>
      <c r="I512" s="66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28"/>
      <c r="G513" s="28"/>
      <c r="H513" s="66"/>
      <c r="I513" s="66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28"/>
      <c r="G514" s="28"/>
      <c r="H514" s="66"/>
      <c r="I514" s="66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28"/>
      <c r="G515" s="28"/>
      <c r="H515" s="66"/>
      <c r="I515" s="66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28"/>
      <c r="G516" s="28"/>
      <c r="H516" s="66"/>
      <c r="I516" s="66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28"/>
      <c r="G517" s="28"/>
      <c r="H517" s="66"/>
      <c r="I517" s="66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28"/>
      <c r="G518" s="28"/>
      <c r="H518" s="66"/>
      <c r="I518" s="66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28"/>
      <c r="G519" s="28"/>
      <c r="H519" s="66"/>
      <c r="I519" s="66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28"/>
      <c r="G520" s="28"/>
      <c r="H520" s="66"/>
      <c r="I520" s="66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28"/>
      <c r="G521" s="28"/>
      <c r="H521" s="66"/>
      <c r="I521" s="66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28"/>
      <c r="G522" s="28"/>
      <c r="H522" s="66"/>
      <c r="I522" s="66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28"/>
      <c r="G523" s="28"/>
      <c r="H523" s="66"/>
      <c r="I523" s="66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28"/>
      <c r="G524" s="28"/>
      <c r="H524" s="66"/>
      <c r="I524" s="66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28"/>
      <c r="G525" s="28"/>
      <c r="H525" s="66"/>
      <c r="I525" s="66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28"/>
      <c r="G526" s="28"/>
      <c r="H526" s="66"/>
      <c r="I526" s="66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28"/>
      <c r="G527" s="28"/>
      <c r="H527" s="66"/>
      <c r="I527" s="66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28"/>
      <c r="G528" s="28"/>
      <c r="H528" s="66"/>
      <c r="I528" s="66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28"/>
      <c r="G529" s="28"/>
      <c r="H529" s="66"/>
      <c r="I529" s="66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28"/>
      <c r="G530" s="28"/>
      <c r="H530" s="66"/>
      <c r="I530" s="66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28"/>
      <c r="G531" s="28"/>
      <c r="H531" s="66"/>
      <c r="I531" s="66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28"/>
      <c r="G532" s="28"/>
      <c r="H532" s="66"/>
      <c r="I532" s="66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28"/>
      <c r="G533" s="28"/>
      <c r="H533" s="66"/>
      <c r="I533" s="66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28"/>
      <c r="G534" s="28"/>
      <c r="H534" s="66"/>
      <c r="I534" s="66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28"/>
      <c r="G535" s="28"/>
      <c r="H535" s="66"/>
      <c r="I535" s="66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28"/>
      <c r="G536" s="28"/>
      <c r="H536" s="66"/>
      <c r="I536" s="66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28"/>
      <c r="G537" s="28"/>
      <c r="H537" s="66"/>
      <c r="I537" s="66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28"/>
      <c r="G538" s="28"/>
      <c r="H538" s="66"/>
      <c r="I538" s="66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28"/>
      <c r="G539" s="28"/>
      <c r="H539" s="66"/>
      <c r="I539" s="66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28"/>
      <c r="G540" s="28"/>
      <c r="H540" s="66"/>
      <c r="I540" s="66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28"/>
      <c r="G541" s="28"/>
      <c r="H541" s="66"/>
      <c r="I541" s="66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28"/>
      <c r="G542" s="28"/>
      <c r="H542" s="66"/>
      <c r="I542" s="66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28"/>
      <c r="G543" s="28"/>
      <c r="H543" s="66"/>
      <c r="I543" s="66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28"/>
      <c r="G544" s="28"/>
      <c r="H544" s="66"/>
      <c r="I544" s="66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28"/>
      <c r="G545" s="28"/>
      <c r="H545" s="66"/>
      <c r="I545" s="66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28"/>
      <c r="G546" s="28"/>
      <c r="H546" s="66"/>
      <c r="I546" s="66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28"/>
      <c r="G547" s="28"/>
      <c r="H547" s="66"/>
      <c r="I547" s="66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28"/>
      <c r="G548" s="28"/>
      <c r="H548" s="66"/>
      <c r="I548" s="66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28"/>
      <c r="G549" s="28"/>
      <c r="H549" s="66"/>
      <c r="I549" s="66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28"/>
      <c r="G550" s="28"/>
      <c r="H550" s="66"/>
      <c r="I550" s="66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28"/>
      <c r="G551" s="28"/>
      <c r="H551" s="66"/>
      <c r="I551" s="66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28"/>
      <c r="G552" s="28"/>
      <c r="H552" s="66"/>
      <c r="I552" s="66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28"/>
      <c r="G553" s="28"/>
      <c r="H553" s="66"/>
      <c r="I553" s="66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28"/>
      <c r="G554" s="28"/>
      <c r="H554" s="66"/>
      <c r="I554" s="66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28"/>
      <c r="G555" s="28"/>
      <c r="H555" s="66"/>
      <c r="I555" s="66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28"/>
      <c r="G556" s="28"/>
      <c r="H556" s="66"/>
      <c r="I556" s="66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28"/>
      <c r="G557" s="28"/>
      <c r="H557" s="66"/>
      <c r="I557" s="66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28"/>
      <c r="G558" s="28"/>
      <c r="H558" s="66"/>
      <c r="I558" s="66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28"/>
      <c r="G559" s="28"/>
      <c r="H559" s="66"/>
      <c r="I559" s="66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28"/>
      <c r="G560" s="28"/>
      <c r="H560" s="66"/>
      <c r="I560" s="66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28"/>
      <c r="G561" s="28"/>
      <c r="H561" s="66"/>
      <c r="I561" s="66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28"/>
      <c r="G562" s="28"/>
      <c r="H562" s="66"/>
      <c r="I562" s="66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28"/>
      <c r="G563" s="28"/>
      <c r="H563" s="66"/>
      <c r="I563" s="66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28"/>
      <c r="G564" s="28"/>
      <c r="H564" s="66"/>
      <c r="I564" s="66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28"/>
      <c r="G565" s="28"/>
      <c r="H565" s="66"/>
      <c r="I565" s="66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28"/>
      <c r="G566" s="28"/>
      <c r="H566" s="66"/>
      <c r="I566" s="66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28"/>
      <c r="G567" s="28"/>
      <c r="H567" s="66"/>
      <c r="I567" s="66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28"/>
      <c r="G568" s="28"/>
      <c r="H568" s="66"/>
      <c r="I568" s="66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28"/>
      <c r="G569" s="28"/>
      <c r="H569" s="66"/>
      <c r="I569" s="66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28"/>
      <c r="G570" s="28"/>
      <c r="H570" s="66"/>
      <c r="I570" s="66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28"/>
      <c r="G571" s="28"/>
      <c r="H571" s="66"/>
      <c r="I571" s="66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28"/>
      <c r="G572" s="28"/>
      <c r="H572" s="66"/>
      <c r="I572" s="66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28"/>
      <c r="G573" s="28"/>
      <c r="H573" s="66"/>
      <c r="I573" s="66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28"/>
      <c r="G574" s="28"/>
      <c r="H574" s="66"/>
      <c r="I574" s="66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28"/>
      <c r="G575" s="28"/>
      <c r="H575" s="66"/>
      <c r="I575" s="66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28"/>
      <c r="G576" s="28"/>
      <c r="H576" s="66"/>
      <c r="I576" s="66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28"/>
      <c r="G577" s="28"/>
      <c r="H577" s="66"/>
      <c r="I577" s="66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28"/>
      <c r="G578" s="28"/>
      <c r="H578" s="66"/>
      <c r="I578" s="66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28"/>
      <c r="G579" s="28"/>
      <c r="H579" s="66"/>
      <c r="I579" s="66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28"/>
      <c r="G580" s="28"/>
      <c r="H580" s="66"/>
      <c r="I580" s="66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28"/>
      <c r="G581" s="28"/>
      <c r="H581" s="66"/>
      <c r="I581" s="66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28"/>
      <c r="G582" s="28"/>
      <c r="H582" s="66"/>
      <c r="I582" s="66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28"/>
      <c r="G583" s="28"/>
      <c r="H583" s="66"/>
      <c r="I583" s="66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28"/>
      <c r="G584" s="28"/>
      <c r="H584" s="66"/>
      <c r="I584" s="66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28"/>
      <c r="G585" s="28"/>
      <c r="H585" s="66"/>
      <c r="I585" s="66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28"/>
      <c r="G586" s="28"/>
      <c r="H586" s="66"/>
      <c r="I586" s="66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28"/>
      <c r="G587" s="28"/>
      <c r="H587" s="66"/>
      <c r="I587" s="66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28"/>
      <c r="G588" s="28"/>
      <c r="H588" s="66"/>
      <c r="I588" s="66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28"/>
      <c r="G589" s="28"/>
      <c r="H589" s="66"/>
      <c r="I589" s="66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28"/>
      <c r="G590" s="28"/>
      <c r="H590" s="66"/>
      <c r="I590" s="66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28"/>
      <c r="G591" s="28"/>
      <c r="H591" s="66"/>
      <c r="I591" s="66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28"/>
      <c r="G592" s="28"/>
      <c r="H592" s="66"/>
      <c r="I592" s="66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28"/>
      <c r="G593" s="28"/>
      <c r="H593" s="66"/>
      <c r="I593" s="66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28"/>
      <c r="G594" s="28"/>
      <c r="H594" s="66"/>
      <c r="I594" s="66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28"/>
      <c r="G595" s="28"/>
      <c r="H595" s="66"/>
      <c r="I595" s="66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28"/>
      <c r="G596" s="28"/>
      <c r="H596" s="66"/>
      <c r="I596" s="66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28"/>
      <c r="G597" s="28"/>
      <c r="H597" s="66"/>
      <c r="I597" s="66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28"/>
      <c r="G598" s="28"/>
      <c r="H598" s="66"/>
      <c r="I598" s="66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28"/>
      <c r="G599" s="28"/>
      <c r="H599" s="66"/>
      <c r="I599" s="66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28"/>
      <c r="G600" s="28"/>
      <c r="H600" s="66"/>
      <c r="I600" s="66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28"/>
      <c r="G601" s="28"/>
      <c r="H601" s="66"/>
      <c r="I601" s="66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28"/>
      <c r="G602" s="28"/>
      <c r="H602" s="66"/>
      <c r="I602" s="66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28"/>
      <c r="G603" s="28"/>
      <c r="H603" s="66"/>
      <c r="I603" s="66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28"/>
      <c r="G604" s="28"/>
      <c r="H604" s="66"/>
      <c r="I604" s="66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28"/>
      <c r="G605" s="28"/>
      <c r="H605" s="66"/>
      <c r="I605" s="66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28"/>
      <c r="G606" s="28"/>
      <c r="H606" s="66"/>
      <c r="I606" s="66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28"/>
      <c r="G607" s="28"/>
      <c r="H607" s="66"/>
      <c r="I607" s="66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28"/>
      <c r="G608" s="28"/>
      <c r="H608" s="66"/>
      <c r="I608" s="66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28"/>
      <c r="G609" s="28"/>
      <c r="H609" s="66"/>
      <c r="I609" s="66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28"/>
      <c r="G610" s="28"/>
      <c r="H610" s="66"/>
      <c r="I610" s="66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28"/>
      <c r="G611" s="28"/>
      <c r="H611" s="66"/>
      <c r="I611" s="66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28"/>
      <c r="G612" s="28"/>
      <c r="H612" s="66"/>
      <c r="I612" s="66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28"/>
      <c r="G613" s="28"/>
      <c r="H613" s="66"/>
      <c r="I613" s="66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28"/>
      <c r="G614" s="28"/>
      <c r="H614" s="66"/>
      <c r="I614" s="66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28"/>
      <c r="G615" s="28"/>
      <c r="H615" s="66"/>
      <c r="I615" s="66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28"/>
      <c r="G616" s="28"/>
      <c r="H616" s="66"/>
      <c r="I616" s="66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28"/>
      <c r="G617" s="28"/>
      <c r="H617" s="66"/>
      <c r="I617" s="66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28"/>
      <c r="G618" s="28"/>
      <c r="H618" s="66"/>
      <c r="I618" s="66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28"/>
      <c r="G619" s="28"/>
      <c r="H619" s="66"/>
      <c r="I619" s="66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28"/>
      <c r="G620" s="28"/>
      <c r="H620" s="66"/>
      <c r="I620" s="66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28"/>
      <c r="G621" s="28"/>
      <c r="H621" s="66"/>
      <c r="I621" s="66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28"/>
      <c r="G622" s="28"/>
      <c r="H622" s="66"/>
      <c r="I622" s="66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28"/>
      <c r="G623" s="28"/>
      <c r="H623" s="66"/>
      <c r="I623" s="66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28"/>
      <c r="G624" s="28"/>
      <c r="H624" s="66"/>
      <c r="I624" s="66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28"/>
      <c r="G625" s="28"/>
      <c r="H625" s="66"/>
      <c r="I625" s="66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28"/>
      <c r="G626" s="28"/>
      <c r="H626" s="66"/>
      <c r="I626" s="66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28"/>
      <c r="G627" s="28"/>
      <c r="H627" s="66"/>
      <c r="I627" s="66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28"/>
      <c r="G628" s="28"/>
      <c r="H628" s="66"/>
      <c r="I628" s="66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28"/>
      <c r="G629" s="28"/>
      <c r="H629" s="66"/>
      <c r="I629" s="66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28"/>
      <c r="G630" s="28"/>
      <c r="H630" s="66"/>
      <c r="I630" s="66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28"/>
      <c r="G631" s="28"/>
      <c r="H631" s="66"/>
      <c r="I631" s="66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28"/>
      <c r="G632" s="28"/>
      <c r="H632" s="66"/>
      <c r="I632" s="66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28"/>
      <c r="G633" s="28"/>
      <c r="H633" s="66"/>
      <c r="I633" s="66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28"/>
      <c r="G634" s="28"/>
      <c r="H634" s="66"/>
      <c r="I634" s="66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28"/>
      <c r="G635" s="28"/>
      <c r="H635" s="66"/>
      <c r="I635" s="66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28"/>
      <c r="G636" s="28"/>
      <c r="H636" s="66"/>
      <c r="I636" s="66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28"/>
      <c r="G637" s="28"/>
      <c r="H637" s="66"/>
      <c r="I637" s="66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28"/>
      <c r="G638" s="28"/>
      <c r="H638" s="66"/>
      <c r="I638" s="66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28"/>
      <c r="G639" s="28"/>
      <c r="H639" s="66"/>
      <c r="I639" s="66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28"/>
      <c r="G640" s="28"/>
      <c r="H640" s="66"/>
      <c r="I640" s="66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28"/>
      <c r="G641" s="28"/>
      <c r="H641" s="66"/>
      <c r="I641" s="66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28"/>
      <c r="G642" s="28"/>
      <c r="H642" s="66"/>
      <c r="I642" s="66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28"/>
      <c r="G643" s="28"/>
      <c r="H643" s="66"/>
      <c r="I643" s="66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28"/>
      <c r="G644" s="28"/>
      <c r="H644" s="66"/>
      <c r="I644" s="66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28"/>
      <c r="G645" s="28"/>
      <c r="H645" s="66"/>
      <c r="I645" s="66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28"/>
      <c r="G646" s="28"/>
      <c r="H646" s="66"/>
      <c r="I646" s="66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28"/>
      <c r="G647" s="28"/>
      <c r="H647" s="66"/>
      <c r="I647" s="66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28"/>
      <c r="G648" s="28"/>
      <c r="H648" s="66"/>
      <c r="I648" s="66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28"/>
      <c r="G649" s="28"/>
      <c r="H649" s="66"/>
      <c r="I649" s="66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28"/>
      <c r="G650" s="28"/>
      <c r="H650" s="66"/>
      <c r="I650" s="66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28"/>
      <c r="G651" s="28"/>
      <c r="H651" s="66"/>
      <c r="I651" s="66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28"/>
      <c r="G652" s="28"/>
      <c r="H652" s="66"/>
      <c r="I652" s="66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28"/>
      <c r="G653" s="28"/>
      <c r="H653" s="66"/>
      <c r="I653" s="66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28"/>
      <c r="G654" s="28"/>
      <c r="H654" s="66"/>
      <c r="I654" s="66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28"/>
      <c r="G655" s="28"/>
      <c r="H655" s="66"/>
      <c r="I655" s="66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28"/>
      <c r="G656" s="28"/>
      <c r="H656" s="66"/>
      <c r="I656" s="66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28"/>
      <c r="G657" s="28"/>
      <c r="H657" s="66"/>
      <c r="I657" s="66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28"/>
      <c r="G658" s="28"/>
      <c r="H658" s="66"/>
      <c r="I658" s="66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28"/>
      <c r="G659" s="28"/>
      <c r="H659" s="66"/>
      <c r="I659" s="66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28"/>
      <c r="G660" s="28"/>
      <c r="H660" s="66"/>
      <c r="I660" s="66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28"/>
      <c r="G661" s="28"/>
      <c r="H661" s="66"/>
      <c r="I661" s="66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28"/>
      <c r="G662" s="28"/>
      <c r="H662" s="66"/>
      <c r="I662" s="66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28"/>
      <c r="G663" s="28"/>
      <c r="H663" s="66"/>
      <c r="I663" s="66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28"/>
      <c r="G664" s="28"/>
      <c r="H664" s="66"/>
      <c r="I664" s="66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28"/>
      <c r="G665" s="28"/>
      <c r="H665" s="66"/>
      <c r="I665" s="66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28"/>
      <c r="G666" s="28"/>
      <c r="H666" s="66"/>
      <c r="I666" s="66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28"/>
      <c r="G667" s="28"/>
      <c r="H667" s="66"/>
      <c r="I667" s="66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28"/>
      <c r="G668" s="28"/>
      <c r="H668" s="66"/>
      <c r="I668" s="66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28"/>
      <c r="G669" s="28"/>
      <c r="H669" s="66"/>
      <c r="I669" s="66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28"/>
      <c r="G670" s="28"/>
      <c r="H670" s="66"/>
      <c r="I670" s="66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28"/>
      <c r="G671" s="28"/>
      <c r="H671" s="66"/>
      <c r="I671" s="66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28"/>
      <c r="G672" s="28"/>
      <c r="H672" s="66"/>
      <c r="I672" s="66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28"/>
      <c r="G673" s="28"/>
      <c r="H673" s="66"/>
      <c r="I673" s="66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28"/>
      <c r="G674" s="28"/>
      <c r="H674" s="66"/>
      <c r="I674" s="66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28"/>
      <c r="G675" s="28"/>
      <c r="H675" s="66"/>
      <c r="I675" s="66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28"/>
      <c r="G676" s="28"/>
      <c r="H676" s="66"/>
      <c r="I676" s="66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28"/>
      <c r="G677" s="28"/>
      <c r="H677" s="66"/>
      <c r="I677" s="66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28"/>
      <c r="G678" s="28"/>
      <c r="H678" s="66"/>
      <c r="I678" s="66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28"/>
      <c r="G679" s="28"/>
      <c r="H679" s="66"/>
      <c r="I679" s="66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28"/>
      <c r="G680" s="28"/>
      <c r="H680" s="66"/>
      <c r="I680" s="66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28"/>
      <c r="G681" s="28"/>
      <c r="H681" s="66"/>
      <c r="I681" s="66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28"/>
      <c r="G682" s="28"/>
      <c r="H682" s="66"/>
      <c r="I682" s="66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28"/>
      <c r="G683" s="28"/>
      <c r="H683" s="66"/>
      <c r="I683" s="66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28"/>
      <c r="G684" s="28"/>
      <c r="H684" s="66"/>
      <c r="I684" s="66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28"/>
      <c r="G685" s="28"/>
      <c r="H685" s="66"/>
      <c r="I685" s="66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28"/>
      <c r="G686" s="28"/>
      <c r="H686" s="66"/>
      <c r="I686" s="66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28"/>
      <c r="G687" s="28"/>
      <c r="H687" s="66"/>
      <c r="I687" s="66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28"/>
      <c r="G688" s="28"/>
      <c r="H688" s="66"/>
      <c r="I688" s="66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28"/>
      <c r="G689" s="28"/>
      <c r="H689" s="66"/>
      <c r="I689" s="66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28"/>
      <c r="G690" s="28"/>
      <c r="H690" s="66"/>
      <c r="I690" s="66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28"/>
      <c r="G691" s="28"/>
      <c r="H691" s="66"/>
      <c r="I691" s="66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28"/>
      <c r="G692" s="28"/>
      <c r="H692" s="66"/>
      <c r="I692" s="66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28"/>
      <c r="G693" s="28"/>
      <c r="H693" s="66"/>
      <c r="I693" s="66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28"/>
      <c r="G694" s="28"/>
      <c r="H694" s="66"/>
      <c r="I694" s="66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28"/>
      <c r="G695" s="28"/>
      <c r="H695" s="66"/>
      <c r="I695" s="66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28"/>
      <c r="G696" s="28"/>
      <c r="H696" s="66"/>
      <c r="I696" s="66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28"/>
      <c r="G697" s="28"/>
      <c r="H697" s="66"/>
      <c r="I697" s="66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28"/>
      <c r="G698" s="28"/>
      <c r="H698" s="66"/>
      <c r="I698" s="66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28"/>
      <c r="G699" s="28"/>
      <c r="H699" s="66"/>
      <c r="I699" s="66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28"/>
      <c r="G700" s="28"/>
      <c r="H700" s="66"/>
      <c r="I700" s="66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28"/>
      <c r="G701" s="28"/>
      <c r="H701" s="66"/>
      <c r="I701" s="66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28"/>
      <c r="G702" s="28"/>
      <c r="H702" s="66"/>
      <c r="I702" s="66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28"/>
      <c r="G703" s="28"/>
      <c r="H703" s="66"/>
      <c r="I703" s="66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28"/>
      <c r="G704" s="28"/>
      <c r="H704" s="66"/>
      <c r="I704" s="66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28"/>
      <c r="G705" s="28"/>
      <c r="H705" s="66"/>
      <c r="I705" s="66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28"/>
      <c r="G706" s="28"/>
      <c r="H706" s="66"/>
      <c r="I706" s="66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28"/>
      <c r="G707" s="28"/>
      <c r="H707" s="66"/>
      <c r="I707" s="66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28"/>
      <c r="G708" s="28"/>
      <c r="H708" s="66"/>
      <c r="I708" s="66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28"/>
      <c r="G709" s="28"/>
      <c r="H709" s="66"/>
      <c r="I709" s="66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28"/>
      <c r="G710" s="28"/>
      <c r="H710" s="66"/>
      <c r="I710" s="66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28"/>
      <c r="G711" s="28"/>
      <c r="H711" s="66"/>
      <c r="I711" s="66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28"/>
      <c r="G712" s="28"/>
      <c r="H712" s="66"/>
      <c r="I712" s="66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28"/>
      <c r="G713" s="28"/>
      <c r="H713" s="66"/>
      <c r="I713" s="66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28"/>
      <c r="G714" s="28"/>
      <c r="H714" s="66"/>
      <c r="I714" s="66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28"/>
      <c r="G715" s="28"/>
      <c r="H715" s="66"/>
      <c r="I715" s="66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28"/>
      <c r="G716" s="28"/>
      <c r="H716" s="66"/>
      <c r="I716" s="66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28"/>
      <c r="G717" s="28"/>
      <c r="H717" s="66"/>
      <c r="I717" s="66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28"/>
      <c r="G718" s="28"/>
      <c r="H718" s="66"/>
      <c r="I718" s="66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28"/>
      <c r="G719" s="28"/>
      <c r="H719" s="66"/>
      <c r="I719" s="66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28"/>
      <c r="G720" s="28"/>
      <c r="H720" s="66"/>
      <c r="I720" s="66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28"/>
      <c r="G721" s="28"/>
      <c r="H721" s="66"/>
      <c r="I721" s="66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28"/>
      <c r="G722" s="28"/>
      <c r="H722" s="66"/>
      <c r="I722" s="66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28"/>
      <c r="G723" s="28"/>
      <c r="H723" s="66"/>
      <c r="I723" s="66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28"/>
      <c r="G724" s="28"/>
      <c r="H724" s="66"/>
      <c r="I724" s="66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28"/>
      <c r="G725" s="28"/>
      <c r="H725" s="66"/>
      <c r="I725" s="66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28"/>
      <c r="G726" s="28"/>
      <c r="H726" s="66"/>
      <c r="I726" s="66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28"/>
      <c r="G727" s="28"/>
      <c r="H727" s="66"/>
      <c r="I727" s="66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28"/>
      <c r="G728" s="28"/>
      <c r="H728" s="66"/>
      <c r="I728" s="66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28"/>
      <c r="G729" s="28"/>
      <c r="H729" s="66"/>
      <c r="I729" s="66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28"/>
      <c r="G730" s="28"/>
      <c r="H730" s="66"/>
      <c r="I730" s="66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28"/>
      <c r="G731" s="28"/>
      <c r="H731" s="66"/>
      <c r="I731" s="66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28"/>
      <c r="G732" s="28"/>
      <c r="H732" s="66"/>
      <c r="I732" s="66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28"/>
      <c r="G733" s="28"/>
      <c r="H733" s="66"/>
      <c r="I733" s="66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28"/>
      <c r="G734" s="28"/>
      <c r="H734" s="66"/>
      <c r="I734" s="66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28"/>
      <c r="G735" s="28"/>
      <c r="H735" s="66"/>
      <c r="I735" s="66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28"/>
      <c r="G736" s="28"/>
      <c r="H736" s="66"/>
      <c r="I736" s="66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28"/>
      <c r="G737" s="28"/>
      <c r="H737" s="66"/>
      <c r="I737" s="66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28"/>
      <c r="G738" s="28"/>
      <c r="H738" s="66"/>
      <c r="I738" s="66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28"/>
      <c r="G739" s="28"/>
      <c r="H739" s="66"/>
      <c r="I739" s="66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28"/>
      <c r="G740" s="28"/>
      <c r="H740" s="66"/>
      <c r="I740" s="66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28"/>
      <c r="G741" s="28"/>
      <c r="H741" s="66"/>
      <c r="I741" s="66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28"/>
      <c r="G742" s="28"/>
      <c r="H742" s="66"/>
      <c r="I742" s="66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28"/>
      <c r="G743" s="28"/>
      <c r="H743" s="66"/>
      <c r="I743" s="66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28"/>
      <c r="G744" s="28"/>
      <c r="H744" s="66"/>
      <c r="I744" s="66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28"/>
      <c r="G745" s="28"/>
      <c r="H745" s="66"/>
      <c r="I745" s="66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28"/>
      <c r="G746" s="28"/>
      <c r="H746" s="66"/>
      <c r="I746" s="66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28"/>
      <c r="G747" s="28"/>
      <c r="H747" s="66"/>
      <c r="I747" s="66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28"/>
      <c r="G748" s="28"/>
      <c r="H748" s="66"/>
      <c r="I748" s="66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28"/>
      <c r="G749" s="28"/>
      <c r="H749" s="66"/>
      <c r="I749" s="66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28"/>
      <c r="G750" s="28"/>
      <c r="H750" s="66"/>
      <c r="I750" s="66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28"/>
      <c r="G751" s="28"/>
      <c r="H751" s="66"/>
      <c r="I751" s="66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28"/>
      <c r="G752" s="28"/>
      <c r="H752" s="66"/>
      <c r="I752" s="66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28"/>
      <c r="G753" s="28"/>
      <c r="H753" s="66"/>
      <c r="I753" s="66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28"/>
      <c r="G754" s="28"/>
      <c r="H754" s="66"/>
      <c r="I754" s="66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28"/>
      <c r="G755" s="28"/>
      <c r="H755" s="66"/>
      <c r="I755" s="66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28"/>
      <c r="G756" s="28"/>
      <c r="H756" s="66"/>
      <c r="I756" s="66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28"/>
      <c r="G757" s="28"/>
      <c r="H757" s="66"/>
      <c r="I757" s="66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28"/>
      <c r="G758" s="28"/>
      <c r="H758" s="66"/>
      <c r="I758" s="66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28"/>
      <c r="G759" s="28"/>
      <c r="H759" s="66"/>
      <c r="I759" s="66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28"/>
      <c r="G760" s="28"/>
      <c r="H760" s="66"/>
      <c r="I760" s="66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28"/>
      <c r="G761" s="28"/>
      <c r="H761" s="66"/>
      <c r="I761" s="66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28"/>
      <c r="G762" s="28"/>
      <c r="H762" s="66"/>
      <c r="I762" s="66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28"/>
      <c r="G763" s="28"/>
      <c r="H763" s="66"/>
      <c r="I763" s="66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28"/>
      <c r="G764" s="28"/>
      <c r="H764" s="66"/>
      <c r="I764" s="66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28"/>
      <c r="G765" s="28"/>
      <c r="H765" s="66"/>
      <c r="I765" s="66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28"/>
      <c r="G766" s="28"/>
      <c r="H766" s="66"/>
      <c r="I766" s="66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28"/>
      <c r="G767" s="28"/>
      <c r="H767" s="66"/>
      <c r="I767" s="66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28"/>
      <c r="G768" s="28"/>
      <c r="H768" s="66"/>
      <c r="I768" s="66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28"/>
      <c r="G769" s="28"/>
      <c r="H769" s="66"/>
      <c r="I769" s="66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28"/>
      <c r="G770" s="28"/>
      <c r="H770" s="66"/>
      <c r="I770" s="66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28"/>
      <c r="G771" s="28"/>
      <c r="H771" s="66"/>
      <c r="I771" s="66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28"/>
      <c r="G772" s="28"/>
      <c r="H772" s="66"/>
      <c r="I772" s="66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28"/>
      <c r="G773" s="28"/>
      <c r="H773" s="66"/>
      <c r="I773" s="66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28"/>
      <c r="G774" s="28"/>
      <c r="H774" s="66"/>
      <c r="I774" s="66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28"/>
      <c r="G775" s="28"/>
      <c r="H775" s="66"/>
      <c r="I775" s="66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28"/>
      <c r="G776" s="28"/>
      <c r="H776" s="66"/>
      <c r="I776" s="66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28"/>
      <c r="G777" s="28"/>
      <c r="H777" s="66"/>
      <c r="I777" s="66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28"/>
      <c r="G778" s="28"/>
      <c r="H778" s="66"/>
      <c r="I778" s="66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28"/>
      <c r="G779" s="28"/>
      <c r="H779" s="66"/>
      <c r="I779" s="66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28"/>
      <c r="G780" s="28"/>
      <c r="H780" s="66"/>
      <c r="I780" s="66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28"/>
      <c r="G781" s="28"/>
      <c r="H781" s="66"/>
      <c r="I781" s="66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28"/>
      <c r="G782" s="28"/>
      <c r="H782" s="66"/>
      <c r="I782" s="66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28"/>
      <c r="G783" s="28"/>
      <c r="H783" s="66"/>
      <c r="I783" s="66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28"/>
      <c r="G784" s="28"/>
      <c r="H784" s="66"/>
      <c r="I784" s="66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28"/>
      <c r="G785" s="28"/>
      <c r="H785" s="66"/>
      <c r="I785" s="66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28"/>
      <c r="G786" s="28"/>
      <c r="H786" s="66"/>
      <c r="I786" s="66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28"/>
      <c r="G787" s="28"/>
      <c r="H787" s="66"/>
      <c r="I787" s="66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28"/>
      <c r="G788" s="28"/>
      <c r="H788" s="66"/>
      <c r="I788" s="66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28"/>
      <c r="G789" s="28"/>
      <c r="H789" s="66"/>
      <c r="I789" s="66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28"/>
      <c r="G790" s="28"/>
      <c r="H790" s="66"/>
      <c r="I790" s="66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28"/>
      <c r="G791" s="28"/>
      <c r="H791" s="66"/>
      <c r="I791" s="66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28"/>
      <c r="G792" s="28"/>
      <c r="H792" s="66"/>
      <c r="I792" s="66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28"/>
      <c r="G793" s="28"/>
      <c r="H793" s="66"/>
      <c r="I793" s="66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28"/>
      <c r="G794" s="28"/>
      <c r="H794" s="66"/>
      <c r="I794" s="66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28"/>
      <c r="G795" s="28"/>
      <c r="H795" s="66"/>
      <c r="I795" s="66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28"/>
      <c r="G796" s="28"/>
      <c r="H796" s="66"/>
      <c r="I796" s="66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28"/>
      <c r="G797" s="28"/>
      <c r="H797" s="66"/>
      <c r="I797" s="66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28"/>
      <c r="G798" s="28"/>
      <c r="H798" s="66"/>
      <c r="I798" s="66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28"/>
      <c r="G799" s="28"/>
      <c r="H799" s="66"/>
      <c r="I799" s="66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28"/>
      <c r="G800" s="28"/>
      <c r="H800" s="66"/>
      <c r="I800" s="66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28"/>
      <c r="G801" s="28"/>
      <c r="H801" s="66"/>
      <c r="I801" s="66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28"/>
      <c r="G802" s="28"/>
      <c r="H802" s="66"/>
      <c r="I802" s="66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28"/>
      <c r="G803" s="28"/>
      <c r="H803" s="66"/>
      <c r="I803" s="66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28"/>
      <c r="G804" s="28"/>
      <c r="H804" s="66"/>
      <c r="I804" s="66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28"/>
      <c r="G805" s="28"/>
      <c r="H805" s="66"/>
      <c r="I805" s="66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28"/>
      <c r="G806" s="28"/>
      <c r="H806" s="66"/>
      <c r="I806" s="66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28"/>
      <c r="G807" s="28"/>
      <c r="H807" s="66"/>
      <c r="I807" s="66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28"/>
      <c r="G808" s="28"/>
      <c r="H808" s="66"/>
      <c r="I808" s="66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28"/>
      <c r="G809" s="28"/>
      <c r="H809" s="66"/>
      <c r="I809" s="66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28"/>
      <c r="G810" s="28"/>
      <c r="H810" s="66"/>
      <c r="I810" s="66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28"/>
      <c r="G811" s="28"/>
      <c r="H811" s="66"/>
      <c r="I811" s="66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28"/>
      <c r="G812" s="28"/>
      <c r="H812" s="66"/>
      <c r="I812" s="66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28"/>
      <c r="G813" s="28"/>
      <c r="H813" s="66"/>
      <c r="I813" s="66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28"/>
      <c r="G814" s="28"/>
      <c r="H814" s="66"/>
      <c r="I814" s="66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28"/>
      <c r="G815" s="28"/>
      <c r="H815" s="66"/>
      <c r="I815" s="66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28"/>
      <c r="G816" s="28"/>
      <c r="H816" s="66"/>
      <c r="I816" s="66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28"/>
      <c r="G817" s="28"/>
      <c r="H817" s="66"/>
      <c r="I817" s="66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28"/>
      <c r="G818" s="28"/>
      <c r="H818" s="66"/>
      <c r="I818" s="66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28"/>
      <c r="G819" s="28"/>
      <c r="H819" s="66"/>
      <c r="I819" s="66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28"/>
      <c r="G820" s="28"/>
      <c r="H820" s="66"/>
      <c r="I820" s="66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28"/>
      <c r="G821" s="28"/>
      <c r="H821" s="66"/>
      <c r="I821" s="66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28"/>
      <c r="G822" s="28"/>
      <c r="H822" s="66"/>
      <c r="I822" s="66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28"/>
      <c r="G823" s="28"/>
      <c r="H823" s="66"/>
      <c r="I823" s="66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28"/>
      <c r="G824" s="28"/>
      <c r="H824" s="66"/>
      <c r="I824" s="66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28"/>
      <c r="G825" s="28"/>
      <c r="H825" s="66"/>
      <c r="I825" s="66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28"/>
      <c r="G826" s="28"/>
      <c r="H826" s="66"/>
      <c r="I826" s="66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28"/>
      <c r="G827" s="28"/>
      <c r="H827" s="66"/>
      <c r="I827" s="66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28"/>
      <c r="G828" s="28"/>
      <c r="H828" s="66"/>
      <c r="I828" s="66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28"/>
      <c r="G829" s="28"/>
      <c r="H829" s="66"/>
      <c r="I829" s="66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28"/>
      <c r="G830" s="28"/>
      <c r="H830" s="66"/>
      <c r="I830" s="66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28"/>
      <c r="G831" s="28"/>
      <c r="H831" s="66"/>
      <c r="I831" s="66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28"/>
      <c r="G832" s="28"/>
      <c r="H832" s="66"/>
      <c r="I832" s="66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28"/>
      <c r="G833" s="28"/>
      <c r="H833" s="66"/>
      <c r="I833" s="66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28"/>
      <c r="G834" s="28"/>
      <c r="H834" s="66"/>
      <c r="I834" s="66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28"/>
      <c r="G835" s="28"/>
      <c r="H835" s="66"/>
      <c r="I835" s="66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28"/>
      <c r="G836" s="28"/>
      <c r="H836" s="66"/>
      <c r="I836" s="66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28"/>
      <c r="G837" s="28"/>
      <c r="H837" s="66"/>
      <c r="I837" s="66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28"/>
      <c r="G838" s="28"/>
      <c r="H838" s="66"/>
      <c r="I838" s="66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28"/>
      <c r="G839" s="28"/>
      <c r="H839" s="66"/>
      <c r="I839" s="66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28"/>
      <c r="G840" s="28"/>
      <c r="H840" s="66"/>
      <c r="I840" s="66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28"/>
      <c r="G841" s="28"/>
      <c r="H841" s="66"/>
      <c r="I841" s="66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28"/>
      <c r="G842" s="28"/>
      <c r="H842" s="66"/>
      <c r="I842" s="66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28"/>
      <c r="G843" s="28"/>
      <c r="H843" s="66"/>
      <c r="I843" s="66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28"/>
      <c r="G844" s="28"/>
      <c r="H844" s="66"/>
      <c r="I844" s="66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28"/>
      <c r="G845" s="28"/>
      <c r="H845" s="66"/>
      <c r="I845" s="66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28"/>
      <c r="G846" s="28"/>
      <c r="H846" s="66"/>
      <c r="I846" s="66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28"/>
      <c r="G847" s="28"/>
      <c r="H847" s="66"/>
      <c r="I847" s="66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28"/>
      <c r="G848" s="28"/>
      <c r="H848" s="66"/>
      <c r="I848" s="66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28"/>
      <c r="G849" s="28"/>
      <c r="H849" s="66"/>
      <c r="I849" s="66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28"/>
      <c r="G850" s="28"/>
      <c r="H850" s="66"/>
      <c r="I850" s="66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28"/>
      <c r="G851" s="28"/>
      <c r="H851" s="66"/>
      <c r="I851" s="66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28"/>
      <c r="G852" s="28"/>
      <c r="H852" s="66"/>
      <c r="I852" s="66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28"/>
      <c r="G853" s="28"/>
      <c r="H853" s="66"/>
      <c r="I853" s="66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28"/>
      <c r="G854" s="28"/>
      <c r="H854" s="66"/>
      <c r="I854" s="66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28"/>
      <c r="G855" s="28"/>
      <c r="H855" s="66"/>
      <c r="I855" s="66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28"/>
      <c r="G856" s="28"/>
      <c r="H856" s="66"/>
      <c r="I856" s="66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28"/>
      <c r="G857" s="28"/>
      <c r="H857" s="66"/>
      <c r="I857" s="66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28"/>
      <c r="G858" s="28"/>
      <c r="H858" s="66"/>
      <c r="I858" s="66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28"/>
      <c r="G859" s="28"/>
      <c r="H859" s="66"/>
      <c r="I859" s="66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28"/>
      <c r="G860" s="28"/>
      <c r="H860" s="66"/>
      <c r="I860" s="66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28"/>
      <c r="G861" s="28"/>
      <c r="H861" s="66"/>
      <c r="I861" s="66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28"/>
      <c r="G862" s="28"/>
      <c r="H862" s="66"/>
      <c r="I862" s="66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28"/>
      <c r="G863" s="28"/>
      <c r="H863" s="66"/>
      <c r="I863" s="66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28"/>
      <c r="G864" s="28"/>
      <c r="H864" s="66"/>
      <c r="I864" s="66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28"/>
      <c r="G865" s="28"/>
      <c r="H865" s="66"/>
      <c r="I865" s="66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28"/>
      <c r="G866" s="28"/>
      <c r="H866" s="66"/>
      <c r="I866" s="66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28"/>
      <c r="G867" s="28"/>
      <c r="H867" s="66"/>
      <c r="I867" s="66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28"/>
      <c r="G868" s="28"/>
      <c r="H868" s="66"/>
      <c r="I868" s="66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28"/>
      <c r="G869" s="28"/>
      <c r="H869" s="66"/>
      <c r="I869" s="66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28"/>
      <c r="G870" s="28"/>
      <c r="H870" s="66"/>
      <c r="I870" s="66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28"/>
      <c r="G871" s="28"/>
      <c r="H871" s="66"/>
      <c r="I871" s="66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28"/>
      <c r="G872" s="28"/>
      <c r="H872" s="66"/>
      <c r="I872" s="66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28"/>
      <c r="G873" s="28"/>
      <c r="H873" s="66"/>
      <c r="I873" s="66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28"/>
      <c r="G874" s="28"/>
      <c r="H874" s="66"/>
      <c r="I874" s="66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28"/>
      <c r="G875" s="28"/>
      <c r="H875" s="66"/>
      <c r="I875" s="66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28"/>
      <c r="G876" s="28"/>
      <c r="H876" s="66"/>
      <c r="I876" s="66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28"/>
      <c r="G877" s="28"/>
      <c r="H877" s="66"/>
      <c r="I877" s="66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28"/>
      <c r="G878" s="28"/>
      <c r="H878" s="66"/>
      <c r="I878" s="66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28"/>
      <c r="G879" s="28"/>
      <c r="H879" s="66"/>
      <c r="I879" s="66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28"/>
      <c r="G880" s="28"/>
      <c r="H880" s="66"/>
      <c r="I880" s="66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28"/>
      <c r="G881" s="28"/>
      <c r="H881" s="66"/>
      <c r="I881" s="66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28"/>
      <c r="G882" s="28"/>
      <c r="H882" s="66"/>
      <c r="I882" s="66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28"/>
      <c r="G883" s="28"/>
      <c r="H883" s="66"/>
      <c r="I883" s="66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28"/>
      <c r="G884" s="28"/>
      <c r="H884" s="66"/>
      <c r="I884" s="66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28"/>
      <c r="G885" s="28"/>
      <c r="H885" s="66"/>
      <c r="I885" s="66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28"/>
      <c r="G886" s="28"/>
      <c r="H886" s="66"/>
      <c r="I886" s="66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28"/>
      <c r="G887" s="28"/>
      <c r="H887" s="66"/>
      <c r="I887" s="66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28"/>
      <c r="G888" s="28"/>
      <c r="H888" s="66"/>
      <c r="I888" s="66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28"/>
      <c r="G889" s="28"/>
      <c r="H889" s="66"/>
      <c r="I889" s="66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28"/>
      <c r="G890" s="28"/>
      <c r="H890" s="66"/>
      <c r="I890" s="66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28"/>
      <c r="G891" s="28"/>
      <c r="H891" s="66"/>
      <c r="I891" s="66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28"/>
      <c r="G892" s="28"/>
      <c r="H892" s="66"/>
      <c r="I892" s="66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28"/>
      <c r="G893" s="28"/>
      <c r="H893" s="66"/>
      <c r="I893" s="66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28"/>
      <c r="G894" s="28"/>
      <c r="H894" s="66"/>
      <c r="I894" s="66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28"/>
      <c r="G895" s="28"/>
      <c r="H895" s="66"/>
      <c r="I895" s="66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28"/>
      <c r="G896" s="28"/>
      <c r="H896" s="66"/>
      <c r="I896" s="66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28"/>
      <c r="G897" s="28"/>
      <c r="H897" s="66"/>
      <c r="I897" s="66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28"/>
      <c r="G898" s="28"/>
      <c r="H898" s="66"/>
      <c r="I898" s="66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28"/>
      <c r="G899" s="28"/>
      <c r="H899" s="66"/>
      <c r="I899" s="66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28"/>
      <c r="G900" s="28"/>
      <c r="H900" s="66"/>
      <c r="I900" s="66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28"/>
      <c r="G901" s="28"/>
      <c r="H901" s="66"/>
      <c r="I901" s="66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28"/>
      <c r="G902" s="28"/>
      <c r="H902" s="66"/>
      <c r="I902" s="66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28"/>
      <c r="G903" s="28"/>
      <c r="H903" s="66"/>
      <c r="I903" s="66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28"/>
      <c r="G904" s="28"/>
      <c r="H904" s="66"/>
      <c r="I904" s="66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28"/>
      <c r="G905" s="28"/>
      <c r="H905" s="66"/>
      <c r="I905" s="66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28"/>
      <c r="G906" s="28"/>
      <c r="H906" s="66"/>
      <c r="I906" s="66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28"/>
      <c r="G907" s="28"/>
      <c r="H907" s="66"/>
      <c r="I907" s="66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28"/>
      <c r="G908" s="28"/>
      <c r="H908" s="66"/>
      <c r="I908" s="66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28"/>
      <c r="G909" s="28"/>
      <c r="H909" s="66"/>
      <c r="I909" s="66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28"/>
      <c r="G910" s="28"/>
      <c r="H910" s="66"/>
      <c r="I910" s="66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28"/>
      <c r="G911" s="28"/>
      <c r="H911" s="66"/>
      <c r="I911" s="66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28"/>
      <c r="G912" s="28"/>
      <c r="H912" s="66"/>
      <c r="I912" s="66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28"/>
      <c r="G913" s="28"/>
      <c r="H913" s="66"/>
      <c r="I913" s="66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28"/>
      <c r="G914" s="28"/>
      <c r="H914" s="66"/>
      <c r="I914" s="66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28"/>
      <c r="G915" s="28"/>
      <c r="H915" s="66"/>
      <c r="I915" s="66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28"/>
      <c r="G916" s="28"/>
      <c r="H916" s="66"/>
      <c r="I916" s="66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28"/>
      <c r="G917" s="28"/>
      <c r="H917" s="66"/>
      <c r="I917" s="66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28"/>
      <c r="G918" s="28"/>
      <c r="H918" s="66"/>
      <c r="I918" s="66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28"/>
      <c r="G919" s="28"/>
      <c r="H919" s="66"/>
      <c r="I919" s="66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28"/>
      <c r="G920" s="28"/>
      <c r="H920" s="66"/>
      <c r="I920" s="66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28"/>
      <c r="G921" s="28"/>
      <c r="H921" s="66"/>
      <c r="I921" s="66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28"/>
      <c r="G922" s="28"/>
      <c r="H922" s="66"/>
      <c r="I922" s="66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28"/>
      <c r="G923" s="28"/>
      <c r="H923" s="66"/>
      <c r="I923" s="66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28"/>
      <c r="G924" s="28"/>
      <c r="H924" s="66"/>
      <c r="I924" s="66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28"/>
      <c r="G925" s="28"/>
      <c r="H925" s="66"/>
      <c r="I925" s="66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28"/>
      <c r="G926" s="28"/>
      <c r="H926" s="66"/>
      <c r="I926" s="66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28"/>
      <c r="G927" s="28"/>
      <c r="H927" s="66"/>
      <c r="I927" s="66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28"/>
      <c r="G928" s="28"/>
      <c r="H928" s="66"/>
      <c r="I928" s="66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28"/>
      <c r="G929" s="28"/>
      <c r="H929" s="66"/>
      <c r="I929" s="66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28"/>
      <c r="G930" s="28"/>
      <c r="H930" s="66"/>
      <c r="I930" s="66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28"/>
      <c r="G931" s="28"/>
      <c r="H931" s="66"/>
      <c r="I931" s="66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28"/>
      <c r="G932" s="28"/>
      <c r="H932" s="66"/>
      <c r="I932" s="66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28"/>
      <c r="G933" s="28"/>
      <c r="H933" s="66"/>
      <c r="I933" s="66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28"/>
      <c r="G934" s="28"/>
      <c r="H934" s="66"/>
      <c r="I934" s="66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28"/>
      <c r="G935" s="28"/>
      <c r="H935" s="66"/>
      <c r="I935" s="66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28"/>
      <c r="G936" s="28"/>
      <c r="H936" s="66"/>
      <c r="I936" s="66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28"/>
      <c r="G937" s="28"/>
      <c r="H937" s="66"/>
      <c r="I937" s="66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28"/>
      <c r="G938" s="28"/>
      <c r="H938" s="66"/>
      <c r="I938" s="66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28"/>
      <c r="G939" s="28"/>
      <c r="H939" s="66"/>
      <c r="I939" s="66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28"/>
      <c r="G940" s="28"/>
      <c r="H940" s="66"/>
      <c r="I940" s="66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28"/>
      <c r="G941" s="28"/>
      <c r="H941" s="66"/>
      <c r="I941" s="66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28"/>
      <c r="G942" s="28"/>
      <c r="H942" s="66"/>
      <c r="I942" s="66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28"/>
      <c r="G943" s="28"/>
      <c r="H943" s="66"/>
      <c r="I943" s="66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28"/>
      <c r="G944" s="28"/>
      <c r="H944" s="66"/>
      <c r="I944" s="66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28"/>
      <c r="G945" s="28"/>
      <c r="H945" s="66"/>
      <c r="I945" s="66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28"/>
      <c r="G946" s="28"/>
      <c r="H946" s="66"/>
      <c r="I946" s="66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28"/>
      <c r="G947" s="28"/>
      <c r="H947" s="66"/>
      <c r="I947" s="66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28"/>
      <c r="G948" s="28"/>
      <c r="H948" s="66"/>
      <c r="I948" s="66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28"/>
      <c r="G949" s="28"/>
      <c r="H949" s="66"/>
      <c r="I949" s="66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28"/>
      <c r="G950" s="28"/>
      <c r="H950" s="66"/>
      <c r="I950" s="66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28"/>
      <c r="G951" s="28"/>
      <c r="H951" s="66"/>
      <c r="I951" s="66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28"/>
      <c r="G952" s="28"/>
      <c r="H952" s="66"/>
      <c r="I952" s="66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28"/>
      <c r="G953" s="28"/>
      <c r="H953" s="66"/>
      <c r="I953" s="66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28"/>
      <c r="G954" s="28"/>
      <c r="H954" s="66"/>
      <c r="I954" s="66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28"/>
      <c r="G955" s="28"/>
      <c r="H955" s="66"/>
      <c r="I955" s="66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28"/>
      <c r="G956" s="28"/>
      <c r="H956" s="66"/>
      <c r="I956" s="66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28"/>
      <c r="G957" s="28"/>
      <c r="H957" s="66"/>
      <c r="I957" s="66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28"/>
      <c r="G958" s="28"/>
      <c r="H958" s="66"/>
      <c r="I958" s="66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28"/>
      <c r="G959" s="28"/>
      <c r="H959" s="66"/>
      <c r="I959" s="66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28"/>
      <c r="G960" s="28"/>
      <c r="H960" s="66"/>
      <c r="I960" s="66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28"/>
      <c r="G961" s="28"/>
      <c r="H961" s="66"/>
      <c r="I961" s="66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28"/>
      <c r="G962" s="28"/>
      <c r="H962" s="66"/>
      <c r="I962" s="66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28"/>
      <c r="G963" s="28"/>
      <c r="H963" s="66"/>
      <c r="I963" s="66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28"/>
      <c r="G964" s="28"/>
      <c r="H964" s="66"/>
      <c r="I964" s="66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28"/>
      <c r="G965" s="28"/>
      <c r="H965" s="66"/>
      <c r="I965" s="66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28"/>
      <c r="G966" s="28"/>
      <c r="H966" s="66"/>
      <c r="I966" s="66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28"/>
      <c r="G967" s="28"/>
      <c r="H967" s="66"/>
      <c r="I967" s="66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28"/>
      <c r="G968" s="28"/>
      <c r="H968" s="66"/>
      <c r="I968" s="66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28"/>
      <c r="G969" s="28"/>
      <c r="H969" s="66"/>
      <c r="I969" s="66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28"/>
      <c r="G970" s="28"/>
      <c r="H970" s="66"/>
      <c r="I970" s="66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28"/>
      <c r="G971" s="28"/>
      <c r="H971" s="66"/>
      <c r="I971" s="66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28"/>
      <c r="G972" s="28"/>
      <c r="H972" s="66"/>
      <c r="I972" s="66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28"/>
      <c r="G973" s="28"/>
      <c r="H973" s="66"/>
      <c r="I973" s="66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28"/>
      <c r="G974" s="28"/>
      <c r="H974" s="66"/>
      <c r="I974" s="66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28"/>
      <c r="G975" s="28"/>
      <c r="H975" s="66"/>
      <c r="I975" s="66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28"/>
      <c r="G976" s="28"/>
      <c r="H976" s="66"/>
      <c r="I976" s="66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28"/>
      <c r="G977" s="28"/>
      <c r="H977" s="66"/>
      <c r="I977" s="66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28"/>
      <c r="G978" s="28"/>
      <c r="H978" s="66"/>
      <c r="I978" s="66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28"/>
      <c r="G979" s="28"/>
      <c r="H979" s="66"/>
      <c r="I979" s="66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28"/>
      <c r="G980" s="28"/>
      <c r="H980" s="66"/>
      <c r="I980" s="66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28"/>
      <c r="G981" s="28"/>
      <c r="H981" s="66"/>
      <c r="I981" s="66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28"/>
      <c r="G982" s="28"/>
      <c r="H982" s="66"/>
      <c r="I982" s="66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28"/>
      <c r="G983" s="28"/>
      <c r="H983" s="66"/>
      <c r="I983" s="66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28"/>
      <c r="G984" s="28"/>
      <c r="H984" s="66"/>
      <c r="I984" s="66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28"/>
      <c r="G985" s="28"/>
      <c r="H985" s="66"/>
      <c r="I985" s="66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28"/>
      <c r="G986" s="28"/>
      <c r="H986" s="66"/>
      <c r="I986" s="66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28"/>
      <c r="G987" s="28"/>
      <c r="H987" s="66"/>
      <c r="I987" s="66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28"/>
      <c r="G988" s="28"/>
      <c r="H988" s="66"/>
      <c r="I988" s="66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28"/>
      <c r="G989" s="28"/>
      <c r="H989" s="66"/>
      <c r="I989" s="66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28"/>
      <c r="G990" s="28"/>
      <c r="H990" s="66"/>
      <c r="I990" s="66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28"/>
      <c r="G991" s="28"/>
      <c r="H991" s="66"/>
      <c r="I991" s="66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28"/>
      <c r="G992" s="28"/>
      <c r="H992" s="66"/>
      <c r="I992" s="66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28"/>
      <c r="G993" s="28"/>
      <c r="H993" s="66"/>
      <c r="I993" s="66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28"/>
      <c r="G994" s="28"/>
      <c r="H994" s="66"/>
      <c r="I994" s="66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28"/>
      <c r="G995" s="28"/>
      <c r="H995" s="66"/>
      <c r="I995" s="66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28"/>
      <c r="G996" s="28"/>
      <c r="H996" s="66"/>
      <c r="I996" s="66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28"/>
      <c r="G997" s="28"/>
      <c r="H997" s="66"/>
      <c r="I997" s="66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28"/>
      <c r="G998" s="28"/>
      <c r="H998" s="66"/>
      <c r="I998" s="66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28"/>
      <c r="G999" s="28"/>
      <c r="H999" s="66"/>
      <c r="I999" s="66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>
      <c r="A1000" s="28"/>
      <c r="B1000" s="28"/>
      <c r="C1000" s="28"/>
      <c r="D1000" s="28"/>
      <c r="E1000" s="28"/>
      <c r="F1000" s="28"/>
      <c r="G1000" s="28"/>
      <c r="H1000" s="66"/>
      <c r="I1000" s="66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>
      <c r="A1001" s="28"/>
      <c r="B1001" s="28"/>
      <c r="C1001" s="28"/>
      <c r="D1001" s="28"/>
      <c r="E1001" s="28"/>
      <c r="F1001" s="28"/>
      <c r="G1001" s="28"/>
      <c r="H1001" s="66"/>
      <c r="I1001" s="66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>
      <c r="A1002" s="28"/>
      <c r="B1002" s="28"/>
      <c r="C1002" s="28"/>
      <c r="D1002" s="28"/>
      <c r="E1002" s="28"/>
      <c r="F1002" s="28"/>
      <c r="G1002" s="28"/>
      <c r="H1002" s="66"/>
      <c r="I1002" s="66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</sheetData>
  <autoFilter ref="$A$4:$AC$13"/>
  <mergeCells count="12">
    <mergeCell ref="G2:G3"/>
    <mergeCell ref="H2:I2"/>
    <mergeCell ref="J2:K2"/>
    <mergeCell ref="L2:M2"/>
    <mergeCell ref="A1:AC1"/>
    <mergeCell ref="A2:A3"/>
    <mergeCell ref="B2:B3"/>
    <mergeCell ref="C2:C3"/>
    <mergeCell ref="D2:D3"/>
    <mergeCell ref="E2:E3"/>
    <mergeCell ref="F2:F3"/>
    <mergeCell ref="N2:O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19.38"/>
    <col customWidth="1" min="3" max="3" width="4.0"/>
    <col customWidth="1" min="4" max="4" width="46.88"/>
    <col customWidth="1" min="5" max="27" width="34.88"/>
  </cols>
  <sheetData>
    <row r="1" ht="44.25" customHeight="1">
      <c r="A1" s="78" t="s">
        <v>288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80" t="s">
        <v>289</v>
      </c>
      <c r="B2" s="81">
        <f>IFERROR(__xludf.DUMMYFUNCTION("INDEX(FILTER(MEMBERINFO!A:A, MEMBERINFO!A:A&lt;&gt;""""), COUNTA(FILTER(MEMBERINFO!A:A, MEMBERINFO!A:A&lt;&gt;"""")))"),55.0)</f>
        <v>55</v>
      </c>
      <c r="C2" s="82"/>
      <c r="D2" s="83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>
      <c r="A3" s="80" t="s">
        <v>290</v>
      </c>
      <c r="B3" s="84">
        <f>IFERROR(__xludf.DUMMYFUNCTION("COUNT(FILTER(MEMBERINFO!H:H, VALUE(MEMBERINFO!H:H)=200))"),125.0)</f>
        <v>125</v>
      </c>
      <c r="C3" s="82" t="s">
        <v>291</v>
      </c>
      <c r="D3" s="83">
        <v>200.0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</row>
    <row r="4">
      <c r="A4" s="80" t="s">
        <v>292</v>
      </c>
      <c r="B4" s="85">
        <f>MULTIPLY(B3,D3)</f>
        <v>25000</v>
      </c>
      <c r="C4" s="86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</row>
    <row r="5">
      <c r="A5" s="80" t="s">
        <v>293</v>
      </c>
      <c r="B5" s="87">
        <v>9400.0</v>
      </c>
      <c r="C5" s="86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</row>
    <row r="6">
      <c r="A6" s="79"/>
      <c r="B6" s="87"/>
      <c r="C6" s="82"/>
      <c r="D6" s="88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</row>
    <row r="7">
      <c r="A7" s="88"/>
      <c r="B7" s="89"/>
      <c r="C7" s="86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>
      <c r="A8" s="88"/>
      <c r="B8" s="89"/>
      <c r="C8" s="86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</row>
    <row r="9">
      <c r="A9" s="80" t="s">
        <v>290</v>
      </c>
      <c r="B9" s="81">
        <f>IFERROR(__xludf.DUMMYFUNCTION("COUNT(FILTER(MEMBERINFO!J:J, VALUE(MEMBERINFO!J:J)=100))"),36.0)</f>
        <v>36</v>
      </c>
      <c r="C9" s="82" t="s">
        <v>291</v>
      </c>
      <c r="D9" s="83">
        <v>100.0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</row>
    <row r="10">
      <c r="A10" s="80" t="s">
        <v>295</v>
      </c>
      <c r="B10" s="89">
        <f>MULTIPLY(B9,D9)</f>
        <v>3600</v>
      </c>
      <c r="C10" s="86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>
      <c r="A11" s="79"/>
      <c r="B11" s="89"/>
      <c r="C11" s="86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>
      <c r="A12" s="88" t="s">
        <v>296</v>
      </c>
      <c r="B12" s="87">
        <f>B14-B5-B6</f>
        <v>19200</v>
      </c>
      <c r="C12" s="91"/>
      <c r="D12" s="92" t="s">
        <v>297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>
      <c r="A13" s="80"/>
      <c r="B13" s="93"/>
      <c r="C13" s="82"/>
      <c r="D13" s="88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>
      <c r="A14" s="80" t="s">
        <v>298</v>
      </c>
      <c r="B14" s="94">
        <f>SUM(B16,B10)</f>
        <v>28600</v>
      </c>
      <c r="D14" s="8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>
      <c r="A15" s="79"/>
      <c r="B15" s="89"/>
      <c r="C15" s="86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>
      <c r="A16" s="80" t="s">
        <v>299</v>
      </c>
      <c r="B16" s="95">
        <f>MULTIPLY(B3,D3)</f>
        <v>25000</v>
      </c>
      <c r="C16" s="86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>
      <c r="A17" s="79"/>
      <c r="B17" s="89"/>
      <c r="C17" s="86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>
      <c r="A18" s="79"/>
      <c r="B18" s="89"/>
      <c r="C18" s="86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>
      <c r="A19" s="79"/>
      <c r="B19" s="89"/>
      <c r="C19" s="86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>
      <c r="A20" s="79"/>
      <c r="B20" s="89"/>
      <c r="C20" s="86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>
      <c r="A21" s="79"/>
      <c r="B21" s="89"/>
      <c r="C21" s="86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>
      <c r="A22" s="79"/>
      <c r="B22" s="89"/>
      <c r="C22" s="86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>
      <c r="A23" s="79"/>
      <c r="B23" s="89"/>
      <c r="C23" s="86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>
      <c r="A24" s="79"/>
      <c r="B24" s="89"/>
      <c r="C24" s="86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>
      <c r="A25" s="79"/>
      <c r="B25" s="89"/>
      <c r="C25" s="86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>
      <c r="A26" s="79"/>
      <c r="B26" s="89"/>
      <c r="C26" s="86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>
      <c r="A27" s="79"/>
      <c r="B27" s="89"/>
      <c r="C27" s="86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>
      <c r="A28" s="79"/>
      <c r="B28" s="89"/>
      <c r="C28" s="86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>
      <c r="A29" s="79"/>
      <c r="B29" s="89"/>
      <c r="C29" s="86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>
      <c r="A30" s="79"/>
      <c r="B30" s="89"/>
      <c r="C30" s="86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>
      <c r="A31" s="79"/>
      <c r="B31" s="89"/>
      <c r="C31" s="86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>
      <c r="A32" s="79"/>
      <c r="B32" s="89"/>
      <c r="C32" s="86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>
      <c r="A33" s="79"/>
      <c r="B33" s="89"/>
      <c r="C33" s="86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>
      <c r="A34" s="79"/>
      <c r="B34" s="89"/>
      <c r="C34" s="86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>
      <c r="A35" s="79"/>
      <c r="B35" s="89"/>
      <c r="C35" s="86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>
      <c r="A36" s="79"/>
      <c r="B36" s="89"/>
      <c r="C36" s="86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>
      <c r="A37" s="79"/>
      <c r="B37" s="89"/>
      <c r="C37" s="86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>
      <c r="A38" s="79"/>
      <c r="B38" s="89"/>
      <c r="C38" s="86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>
      <c r="A39" s="79"/>
      <c r="B39" s="89"/>
      <c r="C39" s="86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</row>
    <row r="40">
      <c r="A40" s="79"/>
      <c r="B40" s="89"/>
      <c r="C40" s="86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>
      <c r="A41" s="79"/>
      <c r="B41" s="89"/>
      <c r="C41" s="86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>
      <c r="A42" s="79"/>
      <c r="B42" s="89"/>
      <c r="C42" s="86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</row>
    <row r="43">
      <c r="A43" s="79"/>
      <c r="B43" s="89"/>
      <c r="C43" s="86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>
      <c r="A44" s="79"/>
      <c r="B44" s="89"/>
      <c r="C44" s="86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>
      <c r="A45" s="79"/>
      <c r="B45" s="89"/>
      <c r="C45" s="86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>
      <c r="A46" s="79"/>
      <c r="B46" s="89"/>
      <c r="C46" s="86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</row>
    <row r="47">
      <c r="A47" s="79"/>
      <c r="B47" s="89"/>
      <c r="C47" s="86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>
      <c r="A48" s="79"/>
      <c r="B48" s="89"/>
      <c r="C48" s="86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>
      <c r="A49" s="79"/>
      <c r="B49" s="89"/>
      <c r="C49" s="86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>
      <c r="A50" s="79"/>
      <c r="B50" s="89"/>
      <c r="C50" s="86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>
      <c r="A51" s="79"/>
      <c r="B51" s="89"/>
      <c r="C51" s="86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>
      <c r="A52" s="79"/>
      <c r="B52" s="89"/>
      <c r="C52" s="86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>
      <c r="A53" s="79"/>
      <c r="B53" s="89"/>
      <c r="C53" s="86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>
      <c r="A54" s="79"/>
      <c r="B54" s="89"/>
      <c r="C54" s="86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>
      <c r="A55" s="79"/>
      <c r="B55" s="89"/>
      <c r="C55" s="86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</row>
    <row r="56">
      <c r="A56" s="79"/>
      <c r="B56" s="89"/>
      <c r="C56" s="86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>
      <c r="A57" s="79"/>
      <c r="B57" s="89"/>
      <c r="C57" s="86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</row>
    <row r="58">
      <c r="A58" s="79"/>
      <c r="B58" s="89"/>
      <c r="C58" s="86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</row>
    <row r="59">
      <c r="A59" s="79"/>
      <c r="B59" s="89"/>
      <c r="C59" s="86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>
      <c r="A60" s="79"/>
      <c r="B60" s="89"/>
      <c r="C60" s="86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>
      <c r="A61" s="79"/>
      <c r="B61" s="89"/>
      <c r="C61" s="86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</row>
    <row r="62">
      <c r="A62" s="79"/>
      <c r="B62" s="89"/>
      <c r="C62" s="86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</row>
    <row r="63">
      <c r="A63" s="79"/>
      <c r="B63" s="89"/>
      <c r="C63" s="86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>
      <c r="A64" s="79"/>
      <c r="B64" s="89"/>
      <c r="C64" s="86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</row>
    <row r="65">
      <c r="A65" s="79"/>
      <c r="B65" s="89"/>
      <c r="C65" s="8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</row>
    <row r="66">
      <c r="A66" s="79"/>
      <c r="B66" s="89"/>
      <c r="C66" s="86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</row>
    <row r="67">
      <c r="A67" s="79"/>
      <c r="B67" s="89"/>
      <c r="C67" s="8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</row>
    <row r="68">
      <c r="A68" s="79"/>
      <c r="B68" s="89"/>
      <c r="C68" s="86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</row>
    <row r="69">
      <c r="A69" s="79"/>
      <c r="B69" s="89"/>
      <c r="C69" s="86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</row>
    <row r="70">
      <c r="A70" s="79"/>
      <c r="B70" s="89"/>
      <c r="C70" s="86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</row>
    <row r="71">
      <c r="A71" s="79"/>
      <c r="B71" s="89"/>
      <c r="C71" s="86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</row>
    <row r="72">
      <c r="A72" s="79"/>
      <c r="B72" s="89"/>
      <c r="C72" s="86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</row>
    <row r="73">
      <c r="A73" s="79"/>
      <c r="B73" s="89"/>
      <c r="C73" s="86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</row>
    <row r="74">
      <c r="A74" s="79"/>
      <c r="B74" s="89"/>
      <c r="C74" s="86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</row>
    <row r="75">
      <c r="A75" s="79"/>
      <c r="B75" s="89"/>
      <c r="C75" s="86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>
      <c r="A76" s="79"/>
      <c r="B76" s="89"/>
      <c r="C76" s="86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</row>
    <row r="77">
      <c r="A77" s="79"/>
      <c r="B77" s="89"/>
      <c r="C77" s="86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</row>
    <row r="78">
      <c r="A78" s="79"/>
      <c r="B78" s="89"/>
      <c r="C78" s="86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</row>
    <row r="79">
      <c r="A79" s="79"/>
      <c r="B79" s="89"/>
      <c r="C79" s="86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</row>
    <row r="80">
      <c r="A80" s="79"/>
      <c r="B80" s="89"/>
      <c r="C80" s="86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>
      <c r="A81" s="79"/>
      <c r="B81" s="89"/>
      <c r="C81" s="86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</row>
    <row r="82">
      <c r="A82" s="79"/>
      <c r="B82" s="89"/>
      <c r="C82" s="86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</row>
    <row r="83">
      <c r="A83" s="79"/>
      <c r="B83" s="89"/>
      <c r="C83" s="86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</row>
    <row r="84">
      <c r="A84" s="79"/>
      <c r="B84" s="89"/>
      <c r="C84" s="86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>
      <c r="A85" s="79"/>
      <c r="B85" s="89"/>
      <c r="C85" s="86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>
      <c r="A86" s="79"/>
      <c r="B86" s="89"/>
      <c r="C86" s="86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</row>
    <row r="87">
      <c r="A87" s="79"/>
      <c r="B87" s="89"/>
      <c r="C87" s="86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</row>
    <row r="88">
      <c r="A88" s="79"/>
      <c r="B88" s="89"/>
      <c r="C88" s="86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>
      <c r="A89" s="79"/>
      <c r="B89" s="89"/>
      <c r="C89" s="86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</row>
    <row r="90">
      <c r="A90" s="79"/>
      <c r="B90" s="89"/>
      <c r="C90" s="86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</row>
    <row r="91">
      <c r="A91" s="79"/>
      <c r="B91" s="89"/>
      <c r="C91" s="86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</row>
    <row r="92">
      <c r="A92" s="79"/>
      <c r="B92" s="89"/>
      <c r="C92" s="86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>
      <c r="A93" s="79"/>
      <c r="B93" s="89"/>
      <c r="C93" s="86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</row>
    <row r="94">
      <c r="A94" s="79"/>
      <c r="B94" s="89"/>
      <c r="C94" s="86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</row>
    <row r="95">
      <c r="A95" s="79"/>
      <c r="B95" s="89"/>
      <c r="C95" s="86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</row>
    <row r="96">
      <c r="A96" s="79"/>
      <c r="B96" s="89"/>
      <c r="C96" s="86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</row>
    <row r="97">
      <c r="A97" s="79"/>
      <c r="B97" s="89"/>
      <c r="C97" s="86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</row>
    <row r="98">
      <c r="A98" s="79"/>
      <c r="B98" s="89"/>
      <c r="C98" s="86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</row>
    <row r="99">
      <c r="A99" s="79"/>
      <c r="B99" s="89"/>
      <c r="C99" s="86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</row>
    <row r="100">
      <c r="A100" s="79"/>
      <c r="B100" s="89"/>
      <c r="C100" s="86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>
      <c r="A101" s="79"/>
      <c r="B101" s="89"/>
      <c r="C101" s="86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</row>
    <row r="102">
      <c r="A102" s="79"/>
      <c r="B102" s="89"/>
      <c r="C102" s="86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</row>
    <row r="103">
      <c r="A103" s="79"/>
      <c r="B103" s="89"/>
      <c r="C103" s="86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</row>
    <row r="104">
      <c r="A104" s="79"/>
      <c r="B104" s="89"/>
      <c r="C104" s="86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>
      <c r="A105" s="79"/>
      <c r="B105" s="89"/>
      <c r="C105" s="86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</row>
    <row r="106">
      <c r="A106" s="79"/>
      <c r="B106" s="89"/>
      <c r="C106" s="86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</row>
    <row r="107">
      <c r="A107" s="79"/>
      <c r="B107" s="89"/>
      <c r="C107" s="86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</row>
    <row r="108">
      <c r="A108" s="79"/>
      <c r="B108" s="89"/>
      <c r="C108" s="86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</row>
    <row r="109">
      <c r="A109" s="79"/>
      <c r="B109" s="89"/>
      <c r="C109" s="86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>
      <c r="A110" s="79"/>
      <c r="B110" s="89"/>
      <c r="C110" s="86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>
      <c r="A111" s="79"/>
      <c r="B111" s="89"/>
      <c r="C111" s="86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</row>
    <row r="112">
      <c r="A112" s="79"/>
      <c r="B112" s="89"/>
      <c r="C112" s="86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</row>
    <row r="113">
      <c r="A113" s="79"/>
      <c r="B113" s="89"/>
      <c r="C113" s="86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</row>
    <row r="114">
      <c r="A114" s="79"/>
      <c r="B114" s="89"/>
      <c r="C114" s="86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</row>
    <row r="115">
      <c r="A115" s="79"/>
      <c r="B115" s="89"/>
      <c r="C115" s="86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</row>
    <row r="116">
      <c r="A116" s="79"/>
      <c r="B116" s="89"/>
      <c r="C116" s="86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</row>
    <row r="117">
      <c r="A117" s="79"/>
      <c r="B117" s="89"/>
      <c r="C117" s="86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>
      <c r="A118" s="79"/>
      <c r="B118" s="89"/>
      <c r="C118" s="86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</row>
    <row r="119">
      <c r="A119" s="79"/>
      <c r="B119" s="89"/>
      <c r="C119" s="86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>
      <c r="A120" s="79"/>
      <c r="B120" s="89"/>
      <c r="C120" s="86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</row>
    <row r="121">
      <c r="A121" s="79"/>
      <c r="B121" s="89"/>
      <c r="C121" s="86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</row>
    <row r="122">
      <c r="A122" s="79"/>
      <c r="B122" s="89"/>
      <c r="C122" s="86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>
      <c r="A123" s="79"/>
      <c r="B123" s="89"/>
      <c r="C123" s="86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</row>
    <row r="124">
      <c r="A124" s="79"/>
      <c r="B124" s="89"/>
      <c r="C124" s="86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</row>
    <row r="125">
      <c r="A125" s="79"/>
      <c r="B125" s="89"/>
      <c r="C125" s="86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</row>
    <row r="126">
      <c r="A126" s="79"/>
      <c r="B126" s="89"/>
      <c r="C126" s="86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</row>
    <row r="127">
      <c r="A127" s="79"/>
      <c r="B127" s="89"/>
      <c r="C127" s="86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</row>
    <row r="128">
      <c r="A128" s="79"/>
      <c r="B128" s="89"/>
      <c r="C128" s="86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>
      <c r="A129" s="79"/>
      <c r="B129" s="89"/>
      <c r="C129" s="86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</row>
    <row r="130">
      <c r="A130" s="79"/>
      <c r="B130" s="89"/>
      <c r="C130" s="86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</row>
    <row r="131">
      <c r="A131" s="79"/>
      <c r="B131" s="89"/>
      <c r="C131" s="86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</row>
    <row r="132">
      <c r="A132" s="79"/>
      <c r="B132" s="89"/>
      <c r="C132" s="86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</row>
    <row r="133">
      <c r="A133" s="79"/>
      <c r="B133" s="89"/>
      <c r="C133" s="86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</row>
    <row r="134">
      <c r="A134" s="79"/>
      <c r="B134" s="89"/>
      <c r="C134" s="86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</row>
    <row r="135">
      <c r="A135" s="79"/>
      <c r="B135" s="89"/>
      <c r="C135" s="86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</row>
    <row r="136">
      <c r="A136" s="79"/>
      <c r="B136" s="89"/>
      <c r="C136" s="86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</row>
    <row r="137">
      <c r="A137" s="79"/>
      <c r="B137" s="89"/>
      <c r="C137" s="86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</row>
    <row r="138">
      <c r="A138" s="79"/>
      <c r="B138" s="89"/>
      <c r="C138" s="86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</row>
    <row r="139">
      <c r="A139" s="79"/>
      <c r="B139" s="89"/>
      <c r="C139" s="86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</row>
    <row r="140">
      <c r="A140" s="79"/>
      <c r="B140" s="89"/>
      <c r="C140" s="86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>
      <c r="A141" s="79"/>
      <c r="B141" s="89"/>
      <c r="C141" s="86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>
      <c r="A142" s="79"/>
      <c r="B142" s="89"/>
      <c r="C142" s="86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</row>
    <row r="143">
      <c r="A143" s="79"/>
      <c r="B143" s="89"/>
      <c r="C143" s="86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</row>
    <row r="144">
      <c r="A144" s="79"/>
      <c r="B144" s="89"/>
      <c r="C144" s="86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</row>
    <row r="145">
      <c r="A145" s="79"/>
      <c r="B145" s="89"/>
      <c r="C145" s="86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</row>
    <row r="146">
      <c r="A146" s="79"/>
      <c r="B146" s="89"/>
      <c r="C146" s="86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</row>
    <row r="147">
      <c r="A147" s="79"/>
      <c r="B147" s="89"/>
      <c r="C147" s="86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</row>
    <row r="148">
      <c r="A148" s="79"/>
      <c r="B148" s="89"/>
      <c r="C148" s="86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</row>
    <row r="149">
      <c r="A149" s="79"/>
      <c r="B149" s="89"/>
      <c r="C149" s="86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</row>
    <row r="150">
      <c r="A150" s="79"/>
      <c r="B150" s="89"/>
      <c r="C150" s="86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</row>
    <row r="151">
      <c r="A151" s="79"/>
      <c r="B151" s="89"/>
      <c r="C151" s="86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</row>
    <row r="152">
      <c r="A152" s="79"/>
      <c r="B152" s="89"/>
      <c r="C152" s="86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</row>
    <row r="153">
      <c r="A153" s="79"/>
      <c r="B153" s="89"/>
      <c r="C153" s="86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</row>
    <row r="154">
      <c r="A154" s="79"/>
      <c r="B154" s="89"/>
      <c r="C154" s="86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</row>
    <row r="155">
      <c r="A155" s="79"/>
      <c r="B155" s="89"/>
      <c r="C155" s="86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</row>
    <row r="156">
      <c r="A156" s="79"/>
      <c r="B156" s="89"/>
      <c r="C156" s="86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</row>
    <row r="157">
      <c r="A157" s="79"/>
      <c r="B157" s="89"/>
      <c r="C157" s="86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</row>
    <row r="158">
      <c r="A158" s="79"/>
      <c r="B158" s="89"/>
      <c r="C158" s="86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</row>
    <row r="159">
      <c r="A159" s="79"/>
      <c r="B159" s="89"/>
      <c r="C159" s="86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</row>
    <row r="160">
      <c r="A160" s="79"/>
      <c r="B160" s="89"/>
      <c r="C160" s="86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</row>
    <row r="161">
      <c r="A161" s="79"/>
      <c r="B161" s="89"/>
      <c r="C161" s="86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</row>
    <row r="162">
      <c r="A162" s="79"/>
      <c r="B162" s="89"/>
      <c r="C162" s="86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</row>
    <row r="163">
      <c r="A163" s="79"/>
      <c r="B163" s="89"/>
      <c r="C163" s="86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</row>
    <row r="164">
      <c r="A164" s="79"/>
      <c r="B164" s="89"/>
      <c r="C164" s="86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>
      <c r="A165" s="79"/>
      <c r="B165" s="89"/>
      <c r="C165" s="86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</row>
    <row r="166">
      <c r="A166" s="79"/>
      <c r="B166" s="89"/>
      <c r="C166" s="86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</row>
    <row r="167">
      <c r="A167" s="79"/>
      <c r="B167" s="89"/>
      <c r="C167" s="86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</row>
    <row r="168">
      <c r="A168" s="79"/>
      <c r="B168" s="89"/>
      <c r="C168" s="86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</row>
    <row r="169">
      <c r="A169" s="79"/>
      <c r="B169" s="89"/>
      <c r="C169" s="86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</row>
    <row r="170">
      <c r="A170" s="79"/>
      <c r="B170" s="89"/>
      <c r="C170" s="86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</row>
    <row r="171">
      <c r="A171" s="79"/>
      <c r="B171" s="89"/>
      <c r="C171" s="86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</row>
    <row r="172">
      <c r="A172" s="79"/>
      <c r="B172" s="89"/>
      <c r="C172" s="86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</row>
    <row r="173">
      <c r="A173" s="79"/>
      <c r="B173" s="89"/>
      <c r="C173" s="86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</row>
    <row r="174">
      <c r="A174" s="79"/>
      <c r="B174" s="89"/>
      <c r="C174" s="86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</row>
    <row r="175">
      <c r="A175" s="79"/>
      <c r="B175" s="89"/>
      <c r="C175" s="86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</row>
    <row r="176">
      <c r="A176" s="79"/>
      <c r="B176" s="89"/>
      <c r="C176" s="86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>
      <c r="A177" s="79"/>
      <c r="B177" s="89"/>
      <c r="C177" s="86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</row>
    <row r="178">
      <c r="A178" s="79"/>
      <c r="B178" s="89"/>
      <c r="C178" s="86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</row>
    <row r="179">
      <c r="A179" s="79"/>
      <c r="B179" s="89"/>
      <c r="C179" s="86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</row>
    <row r="180">
      <c r="A180" s="79"/>
      <c r="B180" s="89"/>
      <c r="C180" s="86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</row>
    <row r="181">
      <c r="A181" s="79"/>
      <c r="B181" s="89"/>
      <c r="C181" s="86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</row>
    <row r="182">
      <c r="A182" s="79"/>
      <c r="B182" s="89"/>
      <c r="C182" s="86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</row>
    <row r="183">
      <c r="A183" s="79"/>
      <c r="B183" s="89"/>
      <c r="C183" s="86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</row>
    <row r="184">
      <c r="A184" s="79"/>
      <c r="B184" s="89"/>
      <c r="C184" s="86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</row>
    <row r="185">
      <c r="A185" s="79"/>
      <c r="B185" s="89"/>
      <c r="C185" s="86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</row>
    <row r="186">
      <c r="A186" s="79"/>
      <c r="B186" s="89"/>
      <c r="C186" s="86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</row>
    <row r="187">
      <c r="A187" s="79"/>
      <c r="B187" s="89"/>
      <c r="C187" s="86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</row>
    <row r="188">
      <c r="A188" s="79"/>
      <c r="B188" s="89"/>
      <c r="C188" s="86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</row>
    <row r="189">
      <c r="A189" s="79"/>
      <c r="B189" s="89"/>
      <c r="C189" s="86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</row>
    <row r="190">
      <c r="A190" s="79"/>
      <c r="B190" s="89"/>
      <c r="C190" s="86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</row>
    <row r="191">
      <c r="A191" s="79"/>
      <c r="B191" s="89"/>
      <c r="C191" s="86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</row>
    <row r="192">
      <c r="A192" s="79"/>
      <c r="B192" s="89"/>
      <c r="C192" s="86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</row>
    <row r="193">
      <c r="A193" s="79"/>
      <c r="B193" s="89"/>
      <c r="C193" s="86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</row>
    <row r="194">
      <c r="A194" s="79"/>
      <c r="B194" s="89"/>
      <c r="C194" s="86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</row>
    <row r="195">
      <c r="A195" s="79"/>
      <c r="B195" s="89"/>
      <c r="C195" s="86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</row>
    <row r="196">
      <c r="A196" s="79"/>
      <c r="B196" s="89"/>
      <c r="C196" s="86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</row>
    <row r="197">
      <c r="A197" s="79"/>
      <c r="B197" s="89"/>
      <c r="C197" s="86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</row>
    <row r="198">
      <c r="A198" s="79"/>
      <c r="B198" s="89"/>
      <c r="C198" s="86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</row>
    <row r="199">
      <c r="A199" s="79"/>
      <c r="B199" s="89"/>
      <c r="C199" s="86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</row>
    <row r="200">
      <c r="A200" s="79"/>
      <c r="B200" s="89"/>
      <c r="C200" s="86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>
      <c r="A201" s="79"/>
      <c r="B201" s="89"/>
      <c r="C201" s="86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</row>
    <row r="202">
      <c r="A202" s="79"/>
      <c r="B202" s="89"/>
      <c r="C202" s="86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</row>
    <row r="203">
      <c r="A203" s="79"/>
      <c r="B203" s="89"/>
      <c r="C203" s="86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</row>
    <row r="204">
      <c r="A204" s="79"/>
      <c r="B204" s="89"/>
      <c r="C204" s="86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</row>
    <row r="205">
      <c r="A205" s="79"/>
      <c r="B205" s="89"/>
      <c r="C205" s="86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</row>
    <row r="206">
      <c r="A206" s="79"/>
      <c r="B206" s="89"/>
      <c r="C206" s="86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</row>
    <row r="207">
      <c r="A207" s="79"/>
      <c r="B207" s="89"/>
      <c r="C207" s="86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</row>
    <row r="208">
      <c r="A208" s="79"/>
      <c r="B208" s="89"/>
      <c r="C208" s="86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</row>
    <row r="209">
      <c r="A209" s="79"/>
      <c r="B209" s="89"/>
      <c r="C209" s="86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</row>
    <row r="210">
      <c r="A210" s="79"/>
      <c r="B210" s="89"/>
      <c r="C210" s="86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</row>
    <row r="211">
      <c r="A211" s="79"/>
      <c r="B211" s="89"/>
      <c r="C211" s="86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</row>
    <row r="212">
      <c r="A212" s="79"/>
      <c r="B212" s="89"/>
      <c r="C212" s="86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>
      <c r="A213" s="79"/>
      <c r="B213" s="89"/>
      <c r="C213" s="86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</row>
    <row r="214">
      <c r="A214" s="79"/>
      <c r="B214" s="89"/>
      <c r="C214" s="86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</row>
    <row r="215">
      <c r="A215" s="79"/>
      <c r="B215" s="89"/>
      <c r="C215" s="86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</row>
    <row r="216">
      <c r="A216" s="79"/>
      <c r="B216" s="89"/>
      <c r="C216" s="86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</row>
    <row r="217">
      <c r="A217" s="79"/>
      <c r="B217" s="89"/>
      <c r="C217" s="86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</row>
    <row r="218">
      <c r="A218" s="79"/>
      <c r="B218" s="89"/>
      <c r="C218" s="86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</row>
    <row r="219">
      <c r="A219" s="79"/>
      <c r="B219" s="89"/>
      <c r="C219" s="86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</row>
    <row r="220">
      <c r="A220" s="79"/>
      <c r="B220" s="89"/>
      <c r="C220" s="86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</row>
    <row r="221">
      <c r="A221" s="79"/>
      <c r="B221" s="89"/>
      <c r="C221" s="86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</row>
    <row r="222">
      <c r="A222" s="79"/>
      <c r="B222" s="89"/>
      <c r="C222" s="86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</row>
    <row r="223">
      <c r="A223" s="79"/>
      <c r="B223" s="89"/>
      <c r="C223" s="86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</row>
    <row r="224">
      <c r="A224" s="79"/>
      <c r="B224" s="89"/>
      <c r="C224" s="86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>
      <c r="A225" s="79"/>
      <c r="B225" s="89"/>
      <c r="C225" s="86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</row>
    <row r="226">
      <c r="A226" s="79"/>
      <c r="B226" s="89"/>
      <c r="C226" s="86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</row>
    <row r="227">
      <c r="A227" s="79"/>
      <c r="B227" s="89"/>
      <c r="C227" s="86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</row>
    <row r="228">
      <c r="A228" s="79"/>
      <c r="B228" s="89"/>
      <c r="C228" s="86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</row>
    <row r="229">
      <c r="A229" s="79"/>
      <c r="B229" s="89"/>
      <c r="C229" s="86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</row>
    <row r="230">
      <c r="A230" s="79"/>
      <c r="B230" s="89"/>
      <c r="C230" s="86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</row>
    <row r="231">
      <c r="A231" s="79"/>
      <c r="B231" s="89"/>
      <c r="C231" s="86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</row>
    <row r="232">
      <c r="A232" s="79"/>
      <c r="B232" s="89"/>
      <c r="C232" s="86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</row>
    <row r="233">
      <c r="A233" s="79"/>
      <c r="B233" s="89"/>
      <c r="C233" s="86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</row>
    <row r="234">
      <c r="A234" s="79"/>
      <c r="B234" s="89"/>
      <c r="C234" s="86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</row>
    <row r="235">
      <c r="A235" s="79"/>
      <c r="B235" s="89"/>
      <c r="C235" s="86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</row>
    <row r="236">
      <c r="A236" s="79"/>
      <c r="B236" s="89"/>
      <c r="C236" s="86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>
      <c r="A237" s="79"/>
      <c r="B237" s="89"/>
      <c r="C237" s="86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</row>
    <row r="238">
      <c r="A238" s="79"/>
      <c r="B238" s="89"/>
      <c r="C238" s="86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</row>
    <row r="239">
      <c r="A239" s="79"/>
      <c r="B239" s="89"/>
      <c r="C239" s="86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</row>
    <row r="240">
      <c r="A240" s="79"/>
      <c r="B240" s="89"/>
      <c r="C240" s="86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</row>
    <row r="241">
      <c r="A241" s="79"/>
      <c r="B241" s="89"/>
      <c r="C241" s="86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</row>
    <row r="242">
      <c r="A242" s="79"/>
      <c r="B242" s="89"/>
      <c r="C242" s="86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</row>
    <row r="243">
      <c r="A243" s="79"/>
      <c r="B243" s="89"/>
      <c r="C243" s="86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</row>
    <row r="244">
      <c r="A244" s="79"/>
      <c r="B244" s="89"/>
      <c r="C244" s="86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</row>
    <row r="245">
      <c r="A245" s="79"/>
      <c r="B245" s="89"/>
      <c r="C245" s="86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</row>
    <row r="246">
      <c r="A246" s="79"/>
      <c r="B246" s="89"/>
      <c r="C246" s="86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</row>
    <row r="247">
      <c r="A247" s="79"/>
      <c r="B247" s="89"/>
      <c r="C247" s="86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</row>
    <row r="248">
      <c r="A248" s="79"/>
      <c r="B248" s="89"/>
      <c r="C248" s="86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</row>
    <row r="249">
      <c r="A249" s="79"/>
      <c r="B249" s="89"/>
      <c r="C249" s="86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</row>
    <row r="250">
      <c r="A250" s="79"/>
      <c r="B250" s="89"/>
      <c r="C250" s="86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</row>
    <row r="251">
      <c r="A251" s="79"/>
      <c r="B251" s="89"/>
      <c r="C251" s="86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</row>
    <row r="252">
      <c r="A252" s="79"/>
      <c r="B252" s="89"/>
      <c r="C252" s="86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</row>
    <row r="253">
      <c r="A253" s="79"/>
      <c r="B253" s="89"/>
      <c r="C253" s="86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</row>
    <row r="254">
      <c r="A254" s="79"/>
      <c r="B254" s="89"/>
      <c r="C254" s="86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</row>
    <row r="255">
      <c r="A255" s="79"/>
      <c r="B255" s="89"/>
      <c r="C255" s="86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</row>
    <row r="256">
      <c r="A256" s="79"/>
      <c r="B256" s="89"/>
      <c r="C256" s="86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</row>
    <row r="257">
      <c r="A257" s="79"/>
      <c r="B257" s="89"/>
      <c r="C257" s="86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</row>
    <row r="258">
      <c r="A258" s="79"/>
      <c r="B258" s="89"/>
      <c r="C258" s="86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</row>
    <row r="259">
      <c r="A259" s="79"/>
      <c r="B259" s="89"/>
      <c r="C259" s="86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</row>
    <row r="260">
      <c r="A260" s="79"/>
      <c r="B260" s="89"/>
      <c r="C260" s="86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</row>
    <row r="261">
      <c r="A261" s="79"/>
      <c r="B261" s="89"/>
      <c r="C261" s="86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</row>
    <row r="262">
      <c r="A262" s="79"/>
      <c r="B262" s="89"/>
      <c r="C262" s="86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</row>
    <row r="263">
      <c r="A263" s="79"/>
      <c r="B263" s="89"/>
      <c r="C263" s="86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</row>
    <row r="264">
      <c r="A264" s="79"/>
      <c r="B264" s="89"/>
      <c r="C264" s="86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</row>
    <row r="265">
      <c r="A265" s="79"/>
      <c r="B265" s="89"/>
      <c r="C265" s="86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</row>
    <row r="266">
      <c r="A266" s="79"/>
      <c r="B266" s="89"/>
      <c r="C266" s="86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</row>
    <row r="267">
      <c r="A267" s="79"/>
      <c r="B267" s="89"/>
      <c r="C267" s="86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</row>
    <row r="268">
      <c r="A268" s="79"/>
      <c r="B268" s="89"/>
      <c r="C268" s="86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</row>
    <row r="269">
      <c r="A269" s="79"/>
      <c r="B269" s="89"/>
      <c r="C269" s="86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</row>
    <row r="270">
      <c r="A270" s="79"/>
      <c r="B270" s="89"/>
      <c r="C270" s="86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</row>
    <row r="271">
      <c r="A271" s="79"/>
      <c r="B271" s="89"/>
      <c r="C271" s="86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</row>
    <row r="272">
      <c r="A272" s="79"/>
      <c r="B272" s="89"/>
      <c r="C272" s="86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</row>
    <row r="273">
      <c r="A273" s="79"/>
      <c r="B273" s="89"/>
      <c r="C273" s="86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</row>
    <row r="274">
      <c r="A274" s="79"/>
      <c r="B274" s="89"/>
      <c r="C274" s="86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</row>
    <row r="275">
      <c r="A275" s="79"/>
      <c r="B275" s="89"/>
      <c r="C275" s="86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</row>
    <row r="276">
      <c r="A276" s="79"/>
      <c r="B276" s="89"/>
      <c r="C276" s="86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</row>
    <row r="277">
      <c r="A277" s="79"/>
      <c r="B277" s="89"/>
      <c r="C277" s="86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</row>
    <row r="278">
      <c r="A278" s="79"/>
      <c r="B278" s="89"/>
      <c r="C278" s="86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</row>
    <row r="279">
      <c r="A279" s="79"/>
      <c r="B279" s="89"/>
      <c r="C279" s="86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</row>
    <row r="280">
      <c r="A280" s="79"/>
      <c r="B280" s="89"/>
      <c r="C280" s="86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</row>
    <row r="281">
      <c r="A281" s="79"/>
      <c r="B281" s="89"/>
      <c r="C281" s="86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</row>
    <row r="282">
      <c r="A282" s="79"/>
      <c r="B282" s="89"/>
      <c r="C282" s="86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</row>
    <row r="283">
      <c r="A283" s="79"/>
      <c r="B283" s="89"/>
      <c r="C283" s="86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</row>
    <row r="284">
      <c r="A284" s="79"/>
      <c r="B284" s="89"/>
      <c r="C284" s="86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</row>
    <row r="285">
      <c r="A285" s="79"/>
      <c r="B285" s="89"/>
      <c r="C285" s="86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</row>
    <row r="286">
      <c r="A286" s="79"/>
      <c r="B286" s="89"/>
      <c r="C286" s="86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</row>
    <row r="287">
      <c r="A287" s="79"/>
      <c r="B287" s="89"/>
      <c r="C287" s="86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</row>
    <row r="288">
      <c r="A288" s="79"/>
      <c r="B288" s="89"/>
      <c r="C288" s="86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</row>
    <row r="289">
      <c r="A289" s="79"/>
      <c r="B289" s="89"/>
      <c r="C289" s="86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</row>
    <row r="290">
      <c r="A290" s="79"/>
      <c r="B290" s="89"/>
      <c r="C290" s="86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</row>
    <row r="291">
      <c r="A291" s="79"/>
      <c r="B291" s="89"/>
      <c r="C291" s="86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</row>
    <row r="292">
      <c r="A292" s="79"/>
      <c r="B292" s="89"/>
      <c r="C292" s="86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</row>
    <row r="293">
      <c r="A293" s="79"/>
      <c r="B293" s="89"/>
      <c r="C293" s="86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</row>
    <row r="294">
      <c r="A294" s="79"/>
      <c r="B294" s="89"/>
      <c r="C294" s="86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</row>
    <row r="295">
      <c r="A295" s="79"/>
      <c r="B295" s="89"/>
      <c r="C295" s="86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</row>
    <row r="296">
      <c r="A296" s="79"/>
      <c r="B296" s="89"/>
      <c r="C296" s="86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</row>
    <row r="297">
      <c r="A297" s="79"/>
      <c r="B297" s="89"/>
      <c r="C297" s="86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</row>
    <row r="298">
      <c r="A298" s="79"/>
      <c r="B298" s="89"/>
      <c r="C298" s="86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</row>
    <row r="299">
      <c r="A299" s="79"/>
      <c r="B299" s="89"/>
      <c r="C299" s="86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</row>
    <row r="300">
      <c r="A300" s="79"/>
      <c r="B300" s="89"/>
      <c r="C300" s="86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</row>
    <row r="301">
      <c r="A301" s="79"/>
      <c r="B301" s="89"/>
      <c r="C301" s="86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</row>
    <row r="302">
      <c r="A302" s="79"/>
      <c r="B302" s="89"/>
      <c r="C302" s="86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</row>
    <row r="303">
      <c r="A303" s="79"/>
      <c r="B303" s="89"/>
      <c r="C303" s="86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</row>
    <row r="304">
      <c r="A304" s="79"/>
      <c r="B304" s="89"/>
      <c r="C304" s="86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</row>
    <row r="305">
      <c r="A305" s="79"/>
      <c r="B305" s="89"/>
      <c r="C305" s="86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</row>
    <row r="306">
      <c r="A306" s="79"/>
      <c r="B306" s="89"/>
      <c r="C306" s="86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</row>
    <row r="307">
      <c r="A307" s="79"/>
      <c r="B307" s="89"/>
      <c r="C307" s="86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</row>
    <row r="308">
      <c r="A308" s="79"/>
      <c r="B308" s="89"/>
      <c r="C308" s="86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</row>
    <row r="309">
      <c r="A309" s="79"/>
      <c r="B309" s="89"/>
      <c r="C309" s="86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</row>
    <row r="310">
      <c r="A310" s="79"/>
      <c r="B310" s="89"/>
      <c r="C310" s="86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</row>
    <row r="311">
      <c r="A311" s="79"/>
      <c r="B311" s="89"/>
      <c r="C311" s="86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</row>
    <row r="312">
      <c r="A312" s="79"/>
      <c r="B312" s="89"/>
      <c r="C312" s="86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</row>
    <row r="313">
      <c r="A313" s="79"/>
      <c r="B313" s="89"/>
      <c r="C313" s="86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</row>
    <row r="314">
      <c r="A314" s="79"/>
      <c r="B314" s="89"/>
      <c r="C314" s="86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</row>
    <row r="315">
      <c r="A315" s="79"/>
      <c r="B315" s="89"/>
      <c r="C315" s="86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</row>
    <row r="316">
      <c r="A316" s="79"/>
      <c r="B316" s="89"/>
      <c r="C316" s="86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</row>
    <row r="317">
      <c r="A317" s="79"/>
      <c r="B317" s="89"/>
      <c r="C317" s="86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</row>
    <row r="318">
      <c r="A318" s="79"/>
      <c r="B318" s="89"/>
      <c r="C318" s="86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</row>
    <row r="319">
      <c r="A319" s="79"/>
      <c r="B319" s="89"/>
      <c r="C319" s="86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</row>
    <row r="320">
      <c r="A320" s="79"/>
      <c r="B320" s="89"/>
      <c r="C320" s="86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</row>
    <row r="321">
      <c r="A321" s="79"/>
      <c r="B321" s="89"/>
      <c r="C321" s="86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</row>
    <row r="322">
      <c r="A322" s="79"/>
      <c r="B322" s="89"/>
      <c r="C322" s="86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</row>
    <row r="323">
      <c r="A323" s="79"/>
      <c r="B323" s="89"/>
      <c r="C323" s="86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</row>
    <row r="324">
      <c r="A324" s="79"/>
      <c r="B324" s="89"/>
      <c r="C324" s="86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</row>
    <row r="325">
      <c r="A325" s="79"/>
      <c r="B325" s="89"/>
      <c r="C325" s="86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</row>
    <row r="326">
      <c r="A326" s="79"/>
      <c r="B326" s="89"/>
      <c r="C326" s="86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</row>
    <row r="327">
      <c r="A327" s="79"/>
      <c r="B327" s="89"/>
      <c r="C327" s="86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</row>
    <row r="328">
      <c r="A328" s="79"/>
      <c r="B328" s="89"/>
      <c r="C328" s="86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</row>
    <row r="329">
      <c r="A329" s="79"/>
      <c r="B329" s="89"/>
      <c r="C329" s="86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</row>
    <row r="330">
      <c r="A330" s="79"/>
      <c r="B330" s="89"/>
      <c r="C330" s="86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</row>
    <row r="331">
      <c r="A331" s="79"/>
      <c r="B331" s="89"/>
      <c r="C331" s="86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</row>
    <row r="332">
      <c r="A332" s="79"/>
      <c r="B332" s="89"/>
      <c r="C332" s="86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</row>
    <row r="333">
      <c r="A333" s="79"/>
      <c r="B333" s="89"/>
      <c r="C333" s="86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</row>
    <row r="334">
      <c r="A334" s="79"/>
      <c r="B334" s="89"/>
      <c r="C334" s="86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</row>
    <row r="335">
      <c r="A335" s="79"/>
      <c r="B335" s="89"/>
      <c r="C335" s="86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</row>
    <row r="336">
      <c r="A336" s="79"/>
      <c r="B336" s="89"/>
      <c r="C336" s="86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</row>
    <row r="337">
      <c r="A337" s="79"/>
      <c r="B337" s="89"/>
      <c r="C337" s="86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</row>
    <row r="338">
      <c r="A338" s="79"/>
      <c r="B338" s="89"/>
      <c r="C338" s="86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</row>
    <row r="339">
      <c r="A339" s="79"/>
      <c r="B339" s="89"/>
      <c r="C339" s="86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</row>
    <row r="340">
      <c r="A340" s="79"/>
      <c r="B340" s="89"/>
      <c r="C340" s="86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</row>
    <row r="341">
      <c r="A341" s="79"/>
      <c r="B341" s="89"/>
      <c r="C341" s="86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</row>
    <row r="342">
      <c r="A342" s="79"/>
      <c r="B342" s="89"/>
      <c r="C342" s="86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</row>
    <row r="343">
      <c r="A343" s="79"/>
      <c r="B343" s="89"/>
      <c r="C343" s="86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</row>
    <row r="344">
      <c r="A344" s="79"/>
      <c r="B344" s="89"/>
      <c r="C344" s="86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</row>
    <row r="345">
      <c r="A345" s="79"/>
      <c r="B345" s="89"/>
      <c r="C345" s="86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</row>
    <row r="346">
      <c r="A346" s="79"/>
      <c r="B346" s="89"/>
      <c r="C346" s="86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</row>
    <row r="347">
      <c r="A347" s="79"/>
      <c r="B347" s="89"/>
      <c r="C347" s="86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</row>
    <row r="348">
      <c r="A348" s="79"/>
      <c r="B348" s="89"/>
      <c r="C348" s="86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</row>
    <row r="349">
      <c r="A349" s="79"/>
      <c r="B349" s="89"/>
      <c r="C349" s="86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</row>
    <row r="350">
      <c r="A350" s="79"/>
      <c r="B350" s="89"/>
      <c r="C350" s="86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</row>
    <row r="351">
      <c r="A351" s="79"/>
      <c r="B351" s="89"/>
      <c r="C351" s="86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</row>
    <row r="352">
      <c r="A352" s="79"/>
      <c r="B352" s="89"/>
      <c r="C352" s="86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</row>
    <row r="353">
      <c r="A353" s="79"/>
      <c r="B353" s="89"/>
      <c r="C353" s="86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</row>
    <row r="354">
      <c r="A354" s="79"/>
      <c r="B354" s="89"/>
      <c r="C354" s="86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</row>
    <row r="355">
      <c r="A355" s="79"/>
      <c r="B355" s="89"/>
      <c r="C355" s="86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</row>
    <row r="356">
      <c r="A356" s="79"/>
      <c r="B356" s="89"/>
      <c r="C356" s="86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</row>
    <row r="357">
      <c r="A357" s="79"/>
      <c r="B357" s="89"/>
      <c r="C357" s="86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</row>
    <row r="358">
      <c r="A358" s="79"/>
      <c r="B358" s="89"/>
      <c r="C358" s="86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</row>
    <row r="359">
      <c r="A359" s="79"/>
      <c r="B359" s="89"/>
      <c r="C359" s="86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</row>
    <row r="360">
      <c r="A360" s="79"/>
      <c r="B360" s="89"/>
      <c r="C360" s="86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</row>
    <row r="361">
      <c r="A361" s="79"/>
      <c r="B361" s="89"/>
      <c r="C361" s="86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</row>
    <row r="362">
      <c r="A362" s="79"/>
      <c r="B362" s="89"/>
      <c r="C362" s="86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</row>
    <row r="363">
      <c r="A363" s="79"/>
      <c r="B363" s="89"/>
      <c r="C363" s="86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</row>
    <row r="364">
      <c r="A364" s="79"/>
      <c r="B364" s="89"/>
      <c r="C364" s="86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</row>
    <row r="365">
      <c r="A365" s="79"/>
      <c r="B365" s="89"/>
      <c r="C365" s="86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</row>
    <row r="366">
      <c r="A366" s="79"/>
      <c r="B366" s="89"/>
      <c r="C366" s="86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</row>
    <row r="367">
      <c r="A367" s="79"/>
      <c r="B367" s="89"/>
      <c r="C367" s="86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</row>
    <row r="368">
      <c r="A368" s="79"/>
      <c r="B368" s="89"/>
      <c r="C368" s="86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</row>
    <row r="369">
      <c r="A369" s="79"/>
      <c r="B369" s="89"/>
      <c r="C369" s="86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</row>
    <row r="370">
      <c r="A370" s="79"/>
      <c r="B370" s="89"/>
      <c r="C370" s="86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</row>
    <row r="371">
      <c r="A371" s="79"/>
      <c r="B371" s="89"/>
      <c r="C371" s="86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</row>
    <row r="372">
      <c r="A372" s="79"/>
      <c r="B372" s="89"/>
      <c r="C372" s="86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</row>
    <row r="373">
      <c r="A373" s="79"/>
      <c r="B373" s="89"/>
      <c r="C373" s="86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</row>
    <row r="374">
      <c r="A374" s="79"/>
      <c r="B374" s="89"/>
      <c r="C374" s="86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</row>
    <row r="375">
      <c r="A375" s="79"/>
      <c r="B375" s="89"/>
      <c r="C375" s="86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</row>
    <row r="376">
      <c r="A376" s="79"/>
      <c r="B376" s="89"/>
      <c r="C376" s="86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</row>
    <row r="377">
      <c r="A377" s="79"/>
      <c r="B377" s="89"/>
      <c r="C377" s="86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</row>
    <row r="378">
      <c r="A378" s="79"/>
      <c r="B378" s="89"/>
      <c r="C378" s="86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</row>
    <row r="379">
      <c r="A379" s="79"/>
      <c r="B379" s="89"/>
      <c r="C379" s="86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</row>
    <row r="380">
      <c r="A380" s="79"/>
      <c r="B380" s="89"/>
      <c r="C380" s="86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</row>
    <row r="381">
      <c r="A381" s="79"/>
      <c r="B381" s="89"/>
      <c r="C381" s="86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</row>
    <row r="382">
      <c r="A382" s="79"/>
      <c r="B382" s="89"/>
      <c r="C382" s="86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</row>
    <row r="383">
      <c r="A383" s="79"/>
      <c r="B383" s="89"/>
      <c r="C383" s="86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</row>
    <row r="384">
      <c r="A384" s="79"/>
      <c r="B384" s="89"/>
      <c r="C384" s="86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</row>
    <row r="385">
      <c r="A385" s="79"/>
      <c r="B385" s="89"/>
      <c r="C385" s="86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</row>
    <row r="386">
      <c r="A386" s="79"/>
      <c r="B386" s="89"/>
      <c r="C386" s="86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</row>
    <row r="387">
      <c r="A387" s="79"/>
      <c r="B387" s="89"/>
      <c r="C387" s="86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</row>
    <row r="388">
      <c r="A388" s="79"/>
      <c r="B388" s="89"/>
      <c r="C388" s="86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</row>
    <row r="389">
      <c r="A389" s="79"/>
      <c r="B389" s="89"/>
      <c r="C389" s="86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</row>
    <row r="390">
      <c r="A390" s="79"/>
      <c r="B390" s="89"/>
      <c r="C390" s="86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</row>
    <row r="391">
      <c r="A391" s="79"/>
      <c r="B391" s="89"/>
      <c r="C391" s="86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</row>
    <row r="392">
      <c r="A392" s="79"/>
      <c r="B392" s="89"/>
      <c r="C392" s="86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</row>
    <row r="393">
      <c r="A393" s="79"/>
      <c r="B393" s="89"/>
      <c r="C393" s="86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</row>
    <row r="394">
      <c r="A394" s="79"/>
      <c r="B394" s="89"/>
      <c r="C394" s="86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</row>
    <row r="395">
      <c r="A395" s="79"/>
      <c r="B395" s="89"/>
      <c r="C395" s="86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</row>
    <row r="396">
      <c r="A396" s="79"/>
      <c r="B396" s="89"/>
      <c r="C396" s="86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</row>
    <row r="397">
      <c r="A397" s="79"/>
      <c r="B397" s="89"/>
      <c r="C397" s="86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</row>
    <row r="398">
      <c r="A398" s="79"/>
      <c r="B398" s="89"/>
      <c r="C398" s="86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</row>
    <row r="399">
      <c r="A399" s="79"/>
      <c r="B399" s="89"/>
      <c r="C399" s="86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</row>
    <row r="400">
      <c r="A400" s="79"/>
      <c r="B400" s="89"/>
      <c r="C400" s="86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</row>
    <row r="401">
      <c r="A401" s="79"/>
      <c r="B401" s="89"/>
      <c r="C401" s="86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</row>
    <row r="402">
      <c r="A402" s="79"/>
      <c r="B402" s="89"/>
      <c r="C402" s="86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</row>
    <row r="403">
      <c r="A403" s="79"/>
      <c r="B403" s="89"/>
      <c r="C403" s="86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</row>
    <row r="404">
      <c r="A404" s="79"/>
      <c r="B404" s="89"/>
      <c r="C404" s="86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</row>
    <row r="405">
      <c r="A405" s="79"/>
      <c r="B405" s="89"/>
      <c r="C405" s="86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</row>
    <row r="406">
      <c r="A406" s="79"/>
      <c r="B406" s="89"/>
      <c r="C406" s="86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</row>
    <row r="407">
      <c r="A407" s="79"/>
      <c r="B407" s="89"/>
      <c r="C407" s="86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</row>
    <row r="408">
      <c r="A408" s="79"/>
      <c r="B408" s="89"/>
      <c r="C408" s="86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</row>
    <row r="409">
      <c r="A409" s="79"/>
      <c r="B409" s="89"/>
      <c r="C409" s="86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</row>
    <row r="410">
      <c r="A410" s="79"/>
      <c r="B410" s="89"/>
      <c r="C410" s="86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</row>
    <row r="411">
      <c r="A411" s="79"/>
      <c r="B411" s="89"/>
      <c r="C411" s="86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</row>
    <row r="412">
      <c r="A412" s="79"/>
      <c r="B412" s="89"/>
      <c r="C412" s="86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</row>
    <row r="413">
      <c r="A413" s="79"/>
      <c r="B413" s="89"/>
      <c r="C413" s="86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</row>
    <row r="414">
      <c r="A414" s="79"/>
      <c r="B414" s="89"/>
      <c r="C414" s="86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</row>
    <row r="415">
      <c r="A415" s="79"/>
      <c r="B415" s="89"/>
      <c r="C415" s="86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</row>
    <row r="416">
      <c r="A416" s="79"/>
      <c r="B416" s="89"/>
      <c r="C416" s="86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</row>
    <row r="417">
      <c r="A417" s="79"/>
      <c r="B417" s="89"/>
      <c r="C417" s="86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</row>
    <row r="418">
      <c r="A418" s="79"/>
      <c r="B418" s="89"/>
      <c r="C418" s="86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</row>
    <row r="419">
      <c r="A419" s="79"/>
      <c r="B419" s="89"/>
      <c r="C419" s="86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</row>
    <row r="420">
      <c r="A420" s="79"/>
      <c r="B420" s="89"/>
      <c r="C420" s="86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</row>
    <row r="421">
      <c r="A421" s="79"/>
      <c r="B421" s="89"/>
      <c r="C421" s="86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</row>
    <row r="422">
      <c r="A422" s="79"/>
      <c r="B422" s="89"/>
      <c r="C422" s="86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</row>
    <row r="423">
      <c r="A423" s="79"/>
      <c r="B423" s="89"/>
      <c r="C423" s="86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</row>
    <row r="424">
      <c r="A424" s="79"/>
      <c r="B424" s="89"/>
      <c r="C424" s="86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</row>
    <row r="425">
      <c r="A425" s="79"/>
      <c r="B425" s="89"/>
      <c r="C425" s="86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</row>
    <row r="426">
      <c r="A426" s="79"/>
      <c r="B426" s="89"/>
      <c r="C426" s="86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</row>
    <row r="427">
      <c r="A427" s="79"/>
      <c r="B427" s="89"/>
      <c r="C427" s="86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</row>
    <row r="428">
      <c r="A428" s="79"/>
      <c r="B428" s="89"/>
      <c r="C428" s="86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</row>
    <row r="429">
      <c r="A429" s="79"/>
      <c r="B429" s="89"/>
      <c r="C429" s="86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</row>
    <row r="430">
      <c r="A430" s="79"/>
      <c r="B430" s="89"/>
      <c r="C430" s="86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</row>
    <row r="431">
      <c r="A431" s="79"/>
      <c r="B431" s="89"/>
      <c r="C431" s="86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</row>
    <row r="432">
      <c r="A432" s="79"/>
      <c r="B432" s="89"/>
      <c r="C432" s="86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</row>
    <row r="433">
      <c r="A433" s="79"/>
      <c r="B433" s="89"/>
      <c r="C433" s="86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</row>
    <row r="434">
      <c r="A434" s="79"/>
      <c r="B434" s="89"/>
      <c r="C434" s="86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</row>
    <row r="435">
      <c r="A435" s="79"/>
      <c r="B435" s="89"/>
      <c r="C435" s="86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</row>
    <row r="436">
      <c r="A436" s="79"/>
      <c r="B436" s="89"/>
      <c r="C436" s="86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</row>
    <row r="437">
      <c r="A437" s="79"/>
      <c r="B437" s="89"/>
      <c r="C437" s="86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</row>
    <row r="438">
      <c r="A438" s="79"/>
      <c r="B438" s="89"/>
      <c r="C438" s="86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</row>
    <row r="439">
      <c r="A439" s="79"/>
      <c r="B439" s="89"/>
      <c r="C439" s="86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</row>
    <row r="440">
      <c r="A440" s="79"/>
      <c r="B440" s="89"/>
      <c r="C440" s="86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</row>
    <row r="441">
      <c r="A441" s="79"/>
      <c r="B441" s="89"/>
      <c r="C441" s="86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</row>
    <row r="442">
      <c r="A442" s="79"/>
      <c r="B442" s="89"/>
      <c r="C442" s="86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</row>
    <row r="443">
      <c r="A443" s="79"/>
      <c r="B443" s="89"/>
      <c r="C443" s="86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</row>
    <row r="444">
      <c r="A444" s="79"/>
      <c r="B444" s="89"/>
      <c r="C444" s="86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</row>
    <row r="445">
      <c r="A445" s="79"/>
      <c r="B445" s="89"/>
      <c r="C445" s="86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</row>
    <row r="446">
      <c r="A446" s="79"/>
      <c r="B446" s="89"/>
      <c r="C446" s="86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</row>
    <row r="447">
      <c r="A447" s="79"/>
      <c r="B447" s="89"/>
      <c r="C447" s="86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</row>
    <row r="448">
      <c r="A448" s="79"/>
      <c r="B448" s="89"/>
      <c r="C448" s="86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</row>
    <row r="449">
      <c r="A449" s="79"/>
      <c r="B449" s="89"/>
      <c r="C449" s="86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</row>
    <row r="450">
      <c r="A450" s="79"/>
      <c r="B450" s="89"/>
      <c r="C450" s="86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</row>
    <row r="451">
      <c r="A451" s="79"/>
      <c r="B451" s="89"/>
      <c r="C451" s="86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</row>
    <row r="452">
      <c r="A452" s="79"/>
      <c r="B452" s="89"/>
      <c r="C452" s="86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</row>
    <row r="453">
      <c r="A453" s="79"/>
      <c r="B453" s="89"/>
      <c r="C453" s="86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</row>
    <row r="454">
      <c r="A454" s="79"/>
      <c r="B454" s="89"/>
      <c r="C454" s="86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</row>
    <row r="455">
      <c r="A455" s="79"/>
      <c r="B455" s="89"/>
      <c r="C455" s="86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</row>
    <row r="456">
      <c r="A456" s="79"/>
      <c r="B456" s="89"/>
      <c r="C456" s="86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</row>
    <row r="457">
      <c r="A457" s="79"/>
      <c r="B457" s="89"/>
      <c r="C457" s="86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</row>
    <row r="458">
      <c r="A458" s="79"/>
      <c r="B458" s="89"/>
      <c r="C458" s="86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</row>
    <row r="459">
      <c r="A459" s="79"/>
      <c r="B459" s="89"/>
      <c r="C459" s="86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</row>
    <row r="460">
      <c r="A460" s="79"/>
      <c r="B460" s="89"/>
      <c r="C460" s="86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</row>
    <row r="461">
      <c r="A461" s="79"/>
      <c r="B461" s="89"/>
      <c r="C461" s="86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</row>
    <row r="462">
      <c r="A462" s="79"/>
      <c r="B462" s="89"/>
      <c r="C462" s="86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</row>
    <row r="463">
      <c r="A463" s="79"/>
      <c r="B463" s="89"/>
      <c r="C463" s="86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</row>
    <row r="464">
      <c r="A464" s="79"/>
      <c r="B464" s="89"/>
      <c r="C464" s="86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</row>
    <row r="465">
      <c r="A465" s="79"/>
      <c r="B465" s="89"/>
      <c r="C465" s="86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</row>
    <row r="466">
      <c r="A466" s="79"/>
      <c r="B466" s="89"/>
      <c r="C466" s="86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</row>
    <row r="467">
      <c r="A467" s="79"/>
      <c r="B467" s="89"/>
      <c r="C467" s="86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</row>
    <row r="468">
      <c r="A468" s="79"/>
      <c r="B468" s="89"/>
      <c r="C468" s="86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</row>
    <row r="469">
      <c r="A469" s="79"/>
      <c r="B469" s="89"/>
      <c r="C469" s="86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</row>
    <row r="470">
      <c r="A470" s="79"/>
      <c r="B470" s="89"/>
      <c r="C470" s="86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</row>
    <row r="471">
      <c r="A471" s="79"/>
      <c r="B471" s="89"/>
      <c r="C471" s="86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</row>
    <row r="472">
      <c r="A472" s="79"/>
      <c r="B472" s="89"/>
      <c r="C472" s="86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</row>
    <row r="473">
      <c r="A473" s="79"/>
      <c r="B473" s="89"/>
      <c r="C473" s="86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</row>
    <row r="474">
      <c r="A474" s="79"/>
      <c r="B474" s="89"/>
      <c r="C474" s="86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</row>
    <row r="475">
      <c r="A475" s="79"/>
      <c r="B475" s="89"/>
      <c r="C475" s="86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</row>
    <row r="476">
      <c r="A476" s="79"/>
      <c r="B476" s="89"/>
      <c r="C476" s="86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</row>
    <row r="477">
      <c r="A477" s="79"/>
      <c r="B477" s="89"/>
      <c r="C477" s="86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</row>
    <row r="478">
      <c r="A478" s="79"/>
      <c r="B478" s="89"/>
      <c r="C478" s="86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</row>
    <row r="479">
      <c r="A479" s="79"/>
      <c r="B479" s="89"/>
      <c r="C479" s="86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</row>
    <row r="480">
      <c r="A480" s="79"/>
      <c r="B480" s="89"/>
      <c r="C480" s="86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</row>
    <row r="481">
      <c r="A481" s="79"/>
      <c r="B481" s="89"/>
      <c r="C481" s="86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</row>
    <row r="482">
      <c r="A482" s="79"/>
      <c r="B482" s="89"/>
      <c r="C482" s="86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</row>
    <row r="483">
      <c r="A483" s="79"/>
      <c r="B483" s="89"/>
      <c r="C483" s="86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</row>
    <row r="484">
      <c r="A484" s="79"/>
      <c r="B484" s="89"/>
      <c r="C484" s="86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</row>
    <row r="485">
      <c r="A485" s="79"/>
      <c r="B485" s="89"/>
      <c r="C485" s="86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</row>
    <row r="486">
      <c r="A486" s="79"/>
      <c r="B486" s="89"/>
      <c r="C486" s="86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</row>
    <row r="487">
      <c r="A487" s="79"/>
      <c r="B487" s="89"/>
      <c r="C487" s="86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</row>
    <row r="488">
      <c r="A488" s="79"/>
      <c r="B488" s="89"/>
      <c r="C488" s="86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</row>
    <row r="489">
      <c r="A489" s="79"/>
      <c r="B489" s="89"/>
      <c r="C489" s="86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</row>
    <row r="490">
      <c r="A490" s="79"/>
      <c r="B490" s="89"/>
      <c r="C490" s="86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</row>
    <row r="491">
      <c r="A491" s="79"/>
      <c r="B491" s="89"/>
      <c r="C491" s="86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</row>
    <row r="492">
      <c r="A492" s="79"/>
      <c r="B492" s="89"/>
      <c r="C492" s="86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</row>
    <row r="493">
      <c r="A493" s="79"/>
      <c r="B493" s="89"/>
      <c r="C493" s="86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</row>
    <row r="494">
      <c r="A494" s="79"/>
      <c r="B494" s="89"/>
      <c r="C494" s="86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</row>
    <row r="495">
      <c r="A495" s="79"/>
      <c r="B495" s="89"/>
      <c r="C495" s="86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</row>
    <row r="496">
      <c r="A496" s="79"/>
      <c r="B496" s="89"/>
      <c r="C496" s="86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</row>
    <row r="497">
      <c r="A497" s="79"/>
      <c r="B497" s="89"/>
      <c r="C497" s="86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</row>
    <row r="498">
      <c r="A498" s="79"/>
      <c r="B498" s="89"/>
      <c r="C498" s="86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</row>
    <row r="499">
      <c r="A499" s="79"/>
      <c r="B499" s="89"/>
      <c r="C499" s="86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</row>
    <row r="500">
      <c r="A500" s="79"/>
      <c r="B500" s="89"/>
      <c r="C500" s="86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</row>
    <row r="501">
      <c r="A501" s="79"/>
      <c r="B501" s="89"/>
      <c r="C501" s="86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</row>
    <row r="502">
      <c r="A502" s="79"/>
      <c r="B502" s="89"/>
      <c r="C502" s="86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</row>
    <row r="503">
      <c r="A503" s="79"/>
      <c r="B503" s="89"/>
      <c r="C503" s="86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</row>
    <row r="504">
      <c r="A504" s="79"/>
      <c r="B504" s="89"/>
      <c r="C504" s="86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</row>
    <row r="505">
      <c r="A505" s="79"/>
      <c r="B505" s="89"/>
      <c r="C505" s="86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</row>
    <row r="506">
      <c r="A506" s="79"/>
      <c r="B506" s="89"/>
      <c r="C506" s="86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</row>
    <row r="507">
      <c r="A507" s="79"/>
      <c r="B507" s="89"/>
      <c r="C507" s="86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</row>
    <row r="508">
      <c r="A508" s="79"/>
      <c r="B508" s="89"/>
      <c r="C508" s="86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</row>
    <row r="509">
      <c r="A509" s="79"/>
      <c r="B509" s="89"/>
      <c r="C509" s="86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</row>
    <row r="510">
      <c r="A510" s="79"/>
      <c r="B510" s="89"/>
      <c r="C510" s="86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</row>
    <row r="511">
      <c r="A511" s="79"/>
      <c r="B511" s="89"/>
      <c r="C511" s="86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</row>
    <row r="512">
      <c r="A512" s="79"/>
      <c r="B512" s="89"/>
      <c r="C512" s="86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</row>
    <row r="513">
      <c r="A513" s="79"/>
      <c r="B513" s="89"/>
      <c r="C513" s="86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</row>
    <row r="514">
      <c r="A514" s="79"/>
      <c r="B514" s="89"/>
      <c r="C514" s="86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</row>
    <row r="515">
      <c r="A515" s="79"/>
      <c r="B515" s="89"/>
      <c r="C515" s="86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</row>
    <row r="516">
      <c r="A516" s="79"/>
      <c r="B516" s="89"/>
      <c r="C516" s="86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</row>
    <row r="517">
      <c r="A517" s="79"/>
      <c r="B517" s="89"/>
      <c r="C517" s="86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</row>
    <row r="518">
      <c r="A518" s="79"/>
      <c r="B518" s="89"/>
      <c r="C518" s="86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</row>
    <row r="519">
      <c r="A519" s="79"/>
      <c r="B519" s="89"/>
      <c r="C519" s="86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</row>
    <row r="520">
      <c r="A520" s="79"/>
      <c r="B520" s="89"/>
      <c r="C520" s="86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</row>
    <row r="521">
      <c r="A521" s="79"/>
      <c r="B521" s="89"/>
      <c r="C521" s="86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</row>
    <row r="522">
      <c r="A522" s="79"/>
      <c r="B522" s="89"/>
      <c r="C522" s="86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</row>
    <row r="523">
      <c r="A523" s="79"/>
      <c r="B523" s="89"/>
      <c r="C523" s="86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</row>
    <row r="524">
      <c r="A524" s="79"/>
      <c r="B524" s="89"/>
      <c r="C524" s="86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</row>
    <row r="525">
      <c r="A525" s="79"/>
      <c r="B525" s="89"/>
      <c r="C525" s="86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</row>
    <row r="526">
      <c r="A526" s="79"/>
      <c r="B526" s="89"/>
      <c r="C526" s="86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</row>
    <row r="527">
      <c r="A527" s="79"/>
      <c r="B527" s="89"/>
      <c r="C527" s="86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</row>
    <row r="528">
      <c r="A528" s="79"/>
      <c r="B528" s="89"/>
      <c r="C528" s="86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</row>
    <row r="529">
      <c r="A529" s="79"/>
      <c r="B529" s="89"/>
      <c r="C529" s="86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</row>
    <row r="530">
      <c r="A530" s="79"/>
      <c r="B530" s="89"/>
      <c r="C530" s="86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</row>
    <row r="531">
      <c r="A531" s="79"/>
      <c r="B531" s="89"/>
      <c r="C531" s="86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</row>
    <row r="532">
      <c r="A532" s="79"/>
      <c r="B532" s="89"/>
      <c r="C532" s="86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</row>
    <row r="533">
      <c r="A533" s="79"/>
      <c r="B533" s="89"/>
      <c r="C533" s="86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</row>
    <row r="534">
      <c r="A534" s="79"/>
      <c r="B534" s="89"/>
      <c r="C534" s="86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</row>
    <row r="535">
      <c r="A535" s="79"/>
      <c r="B535" s="89"/>
      <c r="C535" s="86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</row>
    <row r="536">
      <c r="A536" s="79"/>
      <c r="B536" s="89"/>
      <c r="C536" s="86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</row>
    <row r="537">
      <c r="A537" s="79"/>
      <c r="B537" s="89"/>
      <c r="C537" s="86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</row>
    <row r="538">
      <c r="A538" s="79"/>
      <c r="B538" s="89"/>
      <c r="C538" s="86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</row>
    <row r="539">
      <c r="A539" s="79"/>
      <c r="B539" s="89"/>
      <c r="C539" s="86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</row>
    <row r="540">
      <c r="A540" s="79"/>
      <c r="B540" s="89"/>
      <c r="C540" s="86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</row>
    <row r="541">
      <c r="A541" s="79"/>
      <c r="B541" s="89"/>
      <c r="C541" s="86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</row>
    <row r="542">
      <c r="A542" s="79"/>
      <c r="B542" s="89"/>
      <c r="C542" s="86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</row>
    <row r="543">
      <c r="A543" s="79"/>
      <c r="B543" s="89"/>
      <c r="C543" s="86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</row>
    <row r="544">
      <c r="A544" s="79"/>
      <c r="B544" s="89"/>
      <c r="C544" s="86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</row>
    <row r="545">
      <c r="A545" s="79"/>
      <c r="B545" s="89"/>
      <c r="C545" s="86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</row>
    <row r="546">
      <c r="A546" s="79"/>
      <c r="B546" s="89"/>
      <c r="C546" s="86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</row>
    <row r="547">
      <c r="A547" s="79"/>
      <c r="B547" s="89"/>
      <c r="C547" s="86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</row>
    <row r="548">
      <c r="A548" s="79"/>
      <c r="B548" s="89"/>
      <c r="C548" s="86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</row>
    <row r="549">
      <c r="A549" s="79"/>
      <c r="B549" s="89"/>
      <c r="C549" s="86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</row>
    <row r="550">
      <c r="A550" s="79"/>
      <c r="B550" s="89"/>
      <c r="C550" s="86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</row>
    <row r="551">
      <c r="A551" s="79"/>
      <c r="B551" s="89"/>
      <c r="C551" s="86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</row>
    <row r="552">
      <c r="A552" s="79"/>
      <c r="B552" s="89"/>
      <c r="C552" s="86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</row>
    <row r="553">
      <c r="A553" s="79"/>
      <c r="B553" s="89"/>
      <c r="C553" s="86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</row>
    <row r="554">
      <c r="A554" s="79"/>
      <c r="B554" s="89"/>
      <c r="C554" s="86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</row>
    <row r="555">
      <c r="A555" s="79"/>
      <c r="B555" s="89"/>
      <c r="C555" s="86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</row>
    <row r="556">
      <c r="A556" s="79"/>
      <c r="B556" s="89"/>
      <c r="C556" s="86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</row>
    <row r="557">
      <c r="A557" s="79"/>
      <c r="B557" s="89"/>
      <c r="C557" s="86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</row>
    <row r="558">
      <c r="A558" s="79"/>
      <c r="B558" s="89"/>
      <c r="C558" s="86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</row>
    <row r="559">
      <c r="A559" s="79"/>
      <c r="B559" s="89"/>
      <c r="C559" s="86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</row>
    <row r="560">
      <c r="A560" s="79"/>
      <c r="B560" s="89"/>
      <c r="C560" s="86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</row>
    <row r="561">
      <c r="A561" s="79"/>
      <c r="B561" s="89"/>
      <c r="C561" s="86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</row>
    <row r="562">
      <c r="A562" s="79"/>
      <c r="B562" s="89"/>
      <c r="C562" s="86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</row>
    <row r="563">
      <c r="A563" s="79"/>
      <c r="B563" s="89"/>
      <c r="C563" s="86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</row>
    <row r="564">
      <c r="A564" s="79"/>
      <c r="B564" s="89"/>
      <c r="C564" s="86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</row>
    <row r="565">
      <c r="A565" s="79"/>
      <c r="B565" s="89"/>
      <c r="C565" s="86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</row>
    <row r="566">
      <c r="A566" s="79"/>
      <c r="B566" s="89"/>
      <c r="C566" s="86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</row>
    <row r="567">
      <c r="A567" s="79"/>
      <c r="B567" s="89"/>
      <c r="C567" s="86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</row>
    <row r="568">
      <c r="A568" s="79"/>
      <c r="B568" s="89"/>
      <c r="C568" s="86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</row>
    <row r="569">
      <c r="A569" s="79"/>
      <c r="B569" s="89"/>
      <c r="C569" s="86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</row>
    <row r="570">
      <c r="A570" s="79"/>
      <c r="B570" s="89"/>
      <c r="C570" s="86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</row>
    <row r="571">
      <c r="A571" s="79"/>
      <c r="B571" s="89"/>
      <c r="C571" s="86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</row>
    <row r="572">
      <c r="A572" s="79"/>
      <c r="B572" s="89"/>
      <c r="C572" s="86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</row>
    <row r="573">
      <c r="A573" s="79"/>
      <c r="B573" s="89"/>
      <c r="C573" s="86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</row>
    <row r="574">
      <c r="A574" s="79"/>
      <c r="B574" s="89"/>
      <c r="C574" s="86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</row>
    <row r="575">
      <c r="A575" s="79"/>
      <c r="B575" s="89"/>
      <c r="C575" s="86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</row>
    <row r="576">
      <c r="A576" s="79"/>
      <c r="B576" s="89"/>
      <c r="C576" s="86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</row>
    <row r="577">
      <c r="A577" s="79"/>
      <c r="B577" s="89"/>
      <c r="C577" s="86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</row>
    <row r="578">
      <c r="A578" s="79"/>
      <c r="B578" s="89"/>
      <c r="C578" s="86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</row>
    <row r="579">
      <c r="A579" s="79"/>
      <c r="B579" s="89"/>
      <c r="C579" s="86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</row>
    <row r="580">
      <c r="A580" s="79"/>
      <c r="B580" s="89"/>
      <c r="C580" s="86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</row>
    <row r="581">
      <c r="A581" s="79"/>
      <c r="B581" s="89"/>
      <c r="C581" s="86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</row>
    <row r="582">
      <c r="A582" s="79"/>
      <c r="B582" s="89"/>
      <c r="C582" s="86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</row>
    <row r="583">
      <c r="A583" s="79"/>
      <c r="B583" s="89"/>
      <c r="C583" s="86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</row>
    <row r="584">
      <c r="A584" s="79"/>
      <c r="B584" s="89"/>
      <c r="C584" s="86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</row>
    <row r="585">
      <c r="A585" s="79"/>
      <c r="B585" s="89"/>
      <c r="C585" s="86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</row>
    <row r="586">
      <c r="A586" s="79"/>
      <c r="B586" s="89"/>
      <c r="C586" s="86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</row>
    <row r="587">
      <c r="A587" s="79"/>
      <c r="B587" s="89"/>
      <c r="C587" s="86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</row>
    <row r="588">
      <c r="A588" s="79"/>
      <c r="B588" s="89"/>
      <c r="C588" s="86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</row>
    <row r="589">
      <c r="A589" s="79"/>
      <c r="B589" s="89"/>
      <c r="C589" s="86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</row>
    <row r="590">
      <c r="A590" s="79"/>
      <c r="B590" s="89"/>
      <c r="C590" s="86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</row>
    <row r="591">
      <c r="A591" s="79"/>
      <c r="B591" s="89"/>
      <c r="C591" s="86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</row>
    <row r="592">
      <c r="A592" s="79"/>
      <c r="B592" s="89"/>
      <c r="C592" s="86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</row>
    <row r="593">
      <c r="A593" s="79"/>
      <c r="B593" s="89"/>
      <c r="C593" s="86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</row>
    <row r="594">
      <c r="A594" s="79"/>
      <c r="B594" s="89"/>
      <c r="C594" s="86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</row>
    <row r="595">
      <c r="A595" s="79"/>
      <c r="B595" s="89"/>
      <c r="C595" s="86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</row>
    <row r="596">
      <c r="A596" s="79"/>
      <c r="B596" s="89"/>
      <c r="C596" s="86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</row>
    <row r="597">
      <c r="A597" s="79"/>
      <c r="B597" s="89"/>
      <c r="C597" s="86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</row>
    <row r="598">
      <c r="A598" s="79"/>
      <c r="B598" s="89"/>
      <c r="C598" s="86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</row>
    <row r="599">
      <c r="A599" s="79"/>
      <c r="B599" s="89"/>
      <c r="C599" s="86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</row>
    <row r="600">
      <c r="A600" s="79"/>
      <c r="B600" s="89"/>
      <c r="C600" s="86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</row>
    <row r="601">
      <c r="A601" s="79"/>
      <c r="B601" s="89"/>
      <c r="C601" s="86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</row>
    <row r="602">
      <c r="A602" s="79"/>
      <c r="B602" s="89"/>
      <c r="C602" s="86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</row>
    <row r="603">
      <c r="A603" s="79"/>
      <c r="B603" s="89"/>
      <c r="C603" s="86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</row>
    <row r="604">
      <c r="A604" s="79"/>
      <c r="B604" s="89"/>
      <c r="C604" s="86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</row>
    <row r="605">
      <c r="A605" s="79"/>
      <c r="B605" s="89"/>
      <c r="C605" s="86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</row>
    <row r="606">
      <c r="A606" s="79"/>
      <c r="B606" s="89"/>
      <c r="C606" s="86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</row>
    <row r="607">
      <c r="A607" s="79"/>
      <c r="B607" s="89"/>
      <c r="C607" s="86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</row>
    <row r="608">
      <c r="A608" s="79"/>
      <c r="B608" s="89"/>
      <c r="C608" s="86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</row>
    <row r="609">
      <c r="A609" s="79"/>
      <c r="B609" s="89"/>
      <c r="C609" s="86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</row>
    <row r="610">
      <c r="A610" s="79"/>
      <c r="B610" s="89"/>
      <c r="C610" s="86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</row>
    <row r="611">
      <c r="A611" s="79"/>
      <c r="B611" s="89"/>
      <c r="C611" s="86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</row>
    <row r="612">
      <c r="A612" s="79"/>
      <c r="B612" s="89"/>
      <c r="C612" s="86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</row>
    <row r="613">
      <c r="A613" s="79"/>
      <c r="B613" s="89"/>
      <c r="C613" s="86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</row>
    <row r="614">
      <c r="A614" s="79"/>
      <c r="B614" s="89"/>
      <c r="C614" s="86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</row>
    <row r="615">
      <c r="A615" s="79"/>
      <c r="B615" s="89"/>
      <c r="C615" s="86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</row>
    <row r="616">
      <c r="A616" s="79"/>
      <c r="B616" s="89"/>
      <c r="C616" s="86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</row>
    <row r="617">
      <c r="A617" s="79"/>
      <c r="B617" s="89"/>
      <c r="C617" s="86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</row>
    <row r="618">
      <c r="A618" s="79"/>
      <c r="B618" s="89"/>
      <c r="C618" s="86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</row>
    <row r="619">
      <c r="A619" s="79"/>
      <c r="B619" s="89"/>
      <c r="C619" s="86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</row>
    <row r="620">
      <c r="A620" s="79"/>
      <c r="B620" s="89"/>
      <c r="C620" s="86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</row>
    <row r="621">
      <c r="A621" s="79"/>
      <c r="B621" s="89"/>
      <c r="C621" s="86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</row>
    <row r="622">
      <c r="A622" s="79"/>
      <c r="B622" s="89"/>
      <c r="C622" s="86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</row>
    <row r="623">
      <c r="A623" s="79"/>
      <c r="B623" s="89"/>
      <c r="C623" s="86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</row>
    <row r="624">
      <c r="A624" s="79"/>
      <c r="B624" s="89"/>
      <c r="C624" s="86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</row>
    <row r="625">
      <c r="A625" s="79"/>
      <c r="B625" s="89"/>
      <c r="C625" s="86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</row>
    <row r="626">
      <c r="A626" s="79"/>
      <c r="B626" s="89"/>
      <c r="C626" s="86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</row>
    <row r="627">
      <c r="A627" s="79"/>
      <c r="B627" s="89"/>
      <c r="C627" s="86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</row>
    <row r="628">
      <c r="A628" s="79"/>
      <c r="B628" s="89"/>
      <c r="C628" s="86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</row>
    <row r="629">
      <c r="A629" s="79"/>
      <c r="B629" s="89"/>
      <c r="C629" s="86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</row>
    <row r="630">
      <c r="A630" s="79"/>
      <c r="B630" s="89"/>
      <c r="C630" s="86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</row>
    <row r="631">
      <c r="A631" s="79"/>
      <c r="B631" s="89"/>
      <c r="C631" s="86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</row>
    <row r="632">
      <c r="A632" s="79"/>
      <c r="B632" s="89"/>
      <c r="C632" s="86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</row>
    <row r="633">
      <c r="A633" s="79"/>
      <c r="B633" s="89"/>
      <c r="C633" s="86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</row>
    <row r="634">
      <c r="A634" s="79"/>
      <c r="B634" s="89"/>
      <c r="C634" s="86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</row>
    <row r="635">
      <c r="A635" s="79"/>
      <c r="B635" s="89"/>
      <c r="C635" s="86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</row>
    <row r="636">
      <c r="A636" s="79"/>
      <c r="B636" s="89"/>
      <c r="C636" s="86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</row>
    <row r="637">
      <c r="A637" s="79"/>
      <c r="B637" s="89"/>
      <c r="C637" s="86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</row>
    <row r="638">
      <c r="A638" s="79"/>
      <c r="B638" s="89"/>
      <c r="C638" s="86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</row>
    <row r="639">
      <c r="A639" s="79"/>
      <c r="B639" s="89"/>
      <c r="C639" s="86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</row>
    <row r="640">
      <c r="A640" s="79"/>
      <c r="B640" s="89"/>
      <c r="C640" s="86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</row>
    <row r="641">
      <c r="A641" s="79"/>
      <c r="B641" s="89"/>
      <c r="C641" s="86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</row>
    <row r="642">
      <c r="A642" s="79"/>
      <c r="B642" s="89"/>
      <c r="C642" s="86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</row>
    <row r="643">
      <c r="A643" s="79"/>
      <c r="B643" s="89"/>
      <c r="C643" s="86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</row>
    <row r="644">
      <c r="A644" s="79"/>
      <c r="B644" s="89"/>
      <c r="C644" s="86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</row>
    <row r="645">
      <c r="A645" s="79"/>
      <c r="B645" s="89"/>
      <c r="C645" s="86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</row>
    <row r="646">
      <c r="A646" s="79"/>
      <c r="B646" s="89"/>
      <c r="C646" s="86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</row>
    <row r="647">
      <c r="A647" s="79"/>
      <c r="B647" s="89"/>
      <c r="C647" s="86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</row>
    <row r="648">
      <c r="A648" s="79"/>
      <c r="B648" s="89"/>
      <c r="C648" s="86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</row>
    <row r="649">
      <c r="A649" s="79"/>
      <c r="B649" s="89"/>
      <c r="C649" s="86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</row>
    <row r="650">
      <c r="A650" s="79"/>
      <c r="B650" s="89"/>
      <c r="C650" s="86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</row>
    <row r="651">
      <c r="A651" s="79"/>
      <c r="B651" s="89"/>
      <c r="C651" s="86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</row>
    <row r="652">
      <c r="A652" s="79"/>
      <c r="B652" s="89"/>
      <c r="C652" s="86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</row>
    <row r="653">
      <c r="A653" s="79"/>
      <c r="B653" s="89"/>
      <c r="C653" s="86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</row>
    <row r="654">
      <c r="A654" s="79"/>
      <c r="B654" s="89"/>
      <c r="C654" s="86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</row>
    <row r="655">
      <c r="A655" s="79"/>
      <c r="B655" s="89"/>
      <c r="C655" s="86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</row>
    <row r="656">
      <c r="A656" s="79"/>
      <c r="B656" s="89"/>
      <c r="C656" s="86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</row>
    <row r="657">
      <c r="A657" s="79"/>
      <c r="B657" s="89"/>
      <c r="C657" s="86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</row>
    <row r="658">
      <c r="A658" s="79"/>
      <c r="B658" s="89"/>
      <c r="C658" s="86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</row>
    <row r="659">
      <c r="A659" s="79"/>
      <c r="B659" s="89"/>
      <c r="C659" s="86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</row>
    <row r="660">
      <c r="A660" s="79"/>
      <c r="B660" s="89"/>
      <c r="C660" s="86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</row>
    <row r="661">
      <c r="A661" s="79"/>
      <c r="B661" s="89"/>
      <c r="C661" s="86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</row>
    <row r="662">
      <c r="A662" s="79"/>
      <c r="B662" s="89"/>
      <c r="C662" s="86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</row>
    <row r="663">
      <c r="A663" s="79"/>
      <c r="B663" s="89"/>
      <c r="C663" s="86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</row>
    <row r="664">
      <c r="A664" s="79"/>
      <c r="B664" s="89"/>
      <c r="C664" s="86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</row>
    <row r="665">
      <c r="A665" s="79"/>
      <c r="B665" s="89"/>
      <c r="C665" s="86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</row>
    <row r="666">
      <c r="A666" s="79"/>
      <c r="B666" s="89"/>
      <c r="C666" s="86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</row>
    <row r="667">
      <c r="A667" s="79"/>
      <c r="B667" s="89"/>
      <c r="C667" s="86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</row>
    <row r="668">
      <c r="A668" s="79"/>
      <c r="B668" s="89"/>
      <c r="C668" s="86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</row>
    <row r="669">
      <c r="A669" s="79"/>
      <c r="B669" s="89"/>
      <c r="C669" s="86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</row>
    <row r="670">
      <c r="A670" s="79"/>
      <c r="B670" s="89"/>
      <c r="C670" s="86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</row>
    <row r="671">
      <c r="A671" s="79"/>
      <c r="B671" s="89"/>
      <c r="C671" s="86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</row>
    <row r="672">
      <c r="A672" s="79"/>
      <c r="B672" s="89"/>
      <c r="C672" s="86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</row>
    <row r="673">
      <c r="A673" s="79"/>
      <c r="B673" s="89"/>
      <c r="C673" s="86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</row>
    <row r="674">
      <c r="A674" s="79"/>
      <c r="B674" s="89"/>
      <c r="C674" s="86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</row>
    <row r="675">
      <c r="A675" s="79"/>
      <c r="B675" s="89"/>
      <c r="C675" s="86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</row>
    <row r="676">
      <c r="A676" s="79"/>
      <c r="B676" s="89"/>
      <c r="C676" s="86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</row>
    <row r="677">
      <c r="A677" s="79"/>
      <c r="B677" s="89"/>
      <c r="C677" s="86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</row>
    <row r="678">
      <c r="A678" s="79"/>
      <c r="B678" s="89"/>
      <c r="C678" s="86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</row>
    <row r="679">
      <c r="A679" s="79"/>
      <c r="B679" s="89"/>
      <c r="C679" s="86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</row>
    <row r="680">
      <c r="A680" s="79"/>
      <c r="B680" s="89"/>
      <c r="C680" s="86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</row>
    <row r="681">
      <c r="A681" s="79"/>
      <c r="B681" s="89"/>
      <c r="C681" s="86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</row>
    <row r="682">
      <c r="A682" s="79"/>
      <c r="B682" s="89"/>
      <c r="C682" s="86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</row>
    <row r="683">
      <c r="A683" s="79"/>
      <c r="B683" s="89"/>
      <c r="C683" s="86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</row>
    <row r="684">
      <c r="A684" s="79"/>
      <c r="B684" s="89"/>
      <c r="C684" s="86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</row>
    <row r="685">
      <c r="A685" s="79"/>
      <c r="B685" s="89"/>
      <c r="C685" s="86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</row>
    <row r="686">
      <c r="A686" s="79"/>
      <c r="B686" s="89"/>
      <c r="C686" s="86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</row>
    <row r="687">
      <c r="A687" s="79"/>
      <c r="B687" s="89"/>
      <c r="C687" s="86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</row>
    <row r="688">
      <c r="A688" s="79"/>
      <c r="B688" s="89"/>
      <c r="C688" s="86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</row>
    <row r="689">
      <c r="A689" s="79"/>
      <c r="B689" s="89"/>
      <c r="C689" s="86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</row>
    <row r="690">
      <c r="A690" s="79"/>
      <c r="B690" s="89"/>
      <c r="C690" s="86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</row>
    <row r="691">
      <c r="A691" s="79"/>
      <c r="B691" s="89"/>
      <c r="C691" s="86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</row>
    <row r="692">
      <c r="A692" s="79"/>
      <c r="B692" s="89"/>
      <c r="C692" s="86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</row>
    <row r="693">
      <c r="A693" s="79"/>
      <c r="B693" s="89"/>
      <c r="C693" s="86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</row>
    <row r="694">
      <c r="A694" s="79"/>
      <c r="B694" s="89"/>
      <c r="C694" s="86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</row>
    <row r="695">
      <c r="A695" s="79"/>
      <c r="B695" s="89"/>
      <c r="C695" s="86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</row>
    <row r="696">
      <c r="A696" s="79"/>
      <c r="B696" s="89"/>
      <c r="C696" s="86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</row>
    <row r="697">
      <c r="A697" s="79"/>
      <c r="B697" s="89"/>
      <c r="C697" s="86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</row>
    <row r="698">
      <c r="A698" s="79"/>
      <c r="B698" s="89"/>
      <c r="C698" s="86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</row>
    <row r="699">
      <c r="A699" s="79"/>
      <c r="B699" s="89"/>
      <c r="C699" s="86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</row>
    <row r="700">
      <c r="A700" s="79"/>
      <c r="B700" s="89"/>
      <c r="C700" s="86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</row>
    <row r="701">
      <c r="A701" s="79"/>
      <c r="B701" s="89"/>
      <c r="C701" s="86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</row>
    <row r="702">
      <c r="A702" s="79"/>
      <c r="B702" s="89"/>
      <c r="C702" s="86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</row>
    <row r="703">
      <c r="A703" s="79"/>
      <c r="B703" s="89"/>
      <c r="C703" s="86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</row>
    <row r="704">
      <c r="A704" s="79"/>
      <c r="B704" s="89"/>
      <c r="C704" s="86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</row>
    <row r="705">
      <c r="A705" s="79"/>
      <c r="B705" s="89"/>
      <c r="C705" s="86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</row>
    <row r="706">
      <c r="A706" s="79"/>
      <c r="B706" s="89"/>
      <c r="C706" s="86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</row>
    <row r="707">
      <c r="A707" s="79"/>
      <c r="B707" s="89"/>
      <c r="C707" s="86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</row>
    <row r="708">
      <c r="A708" s="79"/>
      <c r="B708" s="89"/>
      <c r="C708" s="86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</row>
    <row r="709">
      <c r="A709" s="79"/>
      <c r="B709" s="89"/>
      <c r="C709" s="86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</row>
    <row r="710">
      <c r="A710" s="79"/>
      <c r="B710" s="89"/>
      <c r="C710" s="86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</row>
    <row r="711">
      <c r="A711" s="79"/>
      <c r="B711" s="89"/>
      <c r="C711" s="86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</row>
    <row r="712">
      <c r="A712" s="79"/>
      <c r="B712" s="89"/>
      <c r="C712" s="86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</row>
    <row r="713">
      <c r="A713" s="79"/>
      <c r="B713" s="89"/>
      <c r="C713" s="86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</row>
    <row r="714">
      <c r="A714" s="79"/>
      <c r="B714" s="89"/>
      <c r="C714" s="86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</row>
    <row r="715">
      <c r="A715" s="79"/>
      <c r="B715" s="89"/>
      <c r="C715" s="86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</row>
    <row r="716">
      <c r="A716" s="79"/>
      <c r="B716" s="89"/>
      <c r="C716" s="86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</row>
    <row r="717">
      <c r="A717" s="79"/>
      <c r="B717" s="89"/>
      <c r="C717" s="86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</row>
    <row r="718">
      <c r="A718" s="79"/>
      <c r="B718" s="89"/>
      <c r="C718" s="86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</row>
    <row r="719">
      <c r="A719" s="79"/>
      <c r="B719" s="89"/>
      <c r="C719" s="86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</row>
    <row r="720">
      <c r="A720" s="79"/>
      <c r="B720" s="89"/>
      <c r="C720" s="86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</row>
    <row r="721">
      <c r="A721" s="79"/>
      <c r="B721" s="89"/>
      <c r="C721" s="86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</row>
    <row r="722">
      <c r="A722" s="79"/>
      <c r="B722" s="89"/>
      <c r="C722" s="86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</row>
    <row r="723">
      <c r="A723" s="79"/>
      <c r="B723" s="89"/>
      <c r="C723" s="86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</row>
    <row r="724">
      <c r="A724" s="79"/>
      <c r="B724" s="89"/>
      <c r="C724" s="86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</row>
    <row r="725">
      <c r="A725" s="79"/>
      <c r="B725" s="89"/>
      <c r="C725" s="86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</row>
    <row r="726">
      <c r="A726" s="79"/>
      <c r="B726" s="89"/>
      <c r="C726" s="86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</row>
    <row r="727">
      <c r="A727" s="79"/>
      <c r="B727" s="89"/>
      <c r="C727" s="86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</row>
    <row r="728">
      <c r="A728" s="79"/>
      <c r="B728" s="89"/>
      <c r="C728" s="86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</row>
    <row r="729">
      <c r="A729" s="79"/>
      <c r="B729" s="89"/>
      <c r="C729" s="86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</row>
    <row r="730">
      <c r="A730" s="79"/>
      <c r="B730" s="89"/>
      <c r="C730" s="86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</row>
    <row r="731">
      <c r="A731" s="79"/>
      <c r="B731" s="89"/>
      <c r="C731" s="86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</row>
    <row r="732">
      <c r="A732" s="79"/>
      <c r="B732" s="89"/>
      <c r="C732" s="86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</row>
    <row r="733">
      <c r="A733" s="79"/>
      <c r="B733" s="89"/>
      <c r="C733" s="86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</row>
    <row r="734">
      <c r="A734" s="79"/>
      <c r="B734" s="89"/>
      <c r="C734" s="86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</row>
    <row r="735">
      <c r="A735" s="79"/>
      <c r="B735" s="89"/>
      <c r="C735" s="86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</row>
    <row r="736">
      <c r="A736" s="79"/>
      <c r="B736" s="89"/>
      <c r="C736" s="86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</row>
    <row r="737">
      <c r="A737" s="79"/>
      <c r="B737" s="89"/>
      <c r="C737" s="86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</row>
    <row r="738">
      <c r="A738" s="79"/>
      <c r="B738" s="89"/>
      <c r="C738" s="86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</row>
    <row r="739">
      <c r="A739" s="79"/>
      <c r="B739" s="89"/>
      <c r="C739" s="86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</row>
    <row r="740">
      <c r="A740" s="79"/>
      <c r="B740" s="89"/>
      <c r="C740" s="86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</row>
    <row r="741">
      <c r="A741" s="79"/>
      <c r="B741" s="89"/>
      <c r="C741" s="86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</row>
    <row r="742">
      <c r="A742" s="79"/>
      <c r="B742" s="89"/>
      <c r="C742" s="86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</row>
    <row r="743">
      <c r="A743" s="79"/>
      <c r="B743" s="89"/>
      <c r="C743" s="86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</row>
    <row r="744">
      <c r="A744" s="79"/>
      <c r="B744" s="89"/>
      <c r="C744" s="86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</row>
    <row r="745">
      <c r="A745" s="79"/>
      <c r="B745" s="89"/>
      <c r="C745" s="86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</row>
    <row r="746">
      <c r="A746" s="79"/>
      <c r="B746" s="89"/>
      <c r="C746" s="86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</row>
    <row r="747">
      <c r="A747" s="79"/>
      <c r="B747" s="89"/>
      <c r="C747" s="86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</row>
    <row r="748">
      <c r="A748" s="79"/>
      <c r="B748" s="89"/>
      <c r="C748" s="86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</row>
    <row r="749">
      <c r="A749" s="79"/>
      <c r="B749" s="89"/>
      <c r="C749" s="86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</row>
    <row r="750">
      <c r="A750" s="79"/>
      <c r="B750" s="89"/>
      <c r="C750" s="86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</row>
    <row r="751">
      <c r="A751" s="79"/>
      <c r="B751" s="89"/>
      <c r="C751" s="86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</row>
    <row r="752">
      <c r="A752" s="79"/>
      <c r="B752" s="89"/>
      <c r="C752" s="86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</row>
    <row r="753">
      <c r="A753" s="79"/>
      <c r="B753" s="89"/>
      <c r="C753" s="86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</row>
    <row r="754">
      <c r="A754" s="79"/>
      <c r="B754" s="89"/>
      <c r="C754" s="86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</row>
    <row r="755">
      <c r="A755" s="79"/>
      <c r="B755" s="89"/>
      <c r="C755" s="86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</row>
    <row r="756">
      <c r="A756" s="79"/>
      <c r="B756" s="89"/>
      <c r="C756" s="86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</row>
    <row r="757">
      <c r="A757" s="79"/>
      <c r="B757" s="89"/>
      <c r="C757" s="86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</row>
    <row r="758">
      <c r="A758" s="79"/>
      <c r="B758" s="89"/>
      <c r="C758" s="86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</row>
    <row r="759">
      <c r="A759" s="79"/>
      <c r="B759" s="89"/>
      <c r="C759" s="86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</row>
    <row r="760">
      <c r="A760" s="79"/>
      <c r="B760" s="89"/>
      <c r="C760" s="86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</row>
    <row r="761">
      <c r="A761" s="79"/>
      <c r="B761" s="89"/>
      <c r="C761" s="86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</row>
    <row r="762">
      <c r="A762" s="79"/>
      <c r="B762" s="89"/>
      <c r="C762" s="86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</row>
    <row r="763">
      <c r="A763" s="79"/>
      <c r="B763" s="89"/>
      <c r="C763" s="86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</row>
    <row r="764">
      <c r="A764" s="79"/>
      <c r="B764" s="89"/>
      <c r="C764" s="86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</row>
    <row r="765">
      <c r="A765" s="79"/>
      <c r="B765" s="89"/>
      <c r="C765" s="86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</row>
    <row r="766">
      <c r="A766" s="79"/>
      <c r="B766" s="89"/>
      <c r="C766" s="86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</row>
    <row r="767">
      <c r="A767" s="79"/>
      <c r="B767" s="89"/>
      <c r="C767" s="86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</row>
    <row r="768">
      <c r="A768" s="79"/>
      <c r="B768" s="89"/>
      <c r="C768" s="86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</row>
    <row r="769">
      <c r="A769" s="79"/>
      <c r="B769" s="89"/>
      <c r="C769" s="86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</row>
    <row r="770">
      <c r="A770" s="79"/>
      <c r="B770" s="89"/>
      <c r="C770" s="86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</row>
    <row r="771">
      <c r="A771" s="79"/>
      <c r="B771" s="89"/>
      <c r="C771" s="86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</row>
    <row r="772">
      <c r="A772" s="79"/>
      <c r="B772" s="89"/>
      <c r="C772" s="86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</row>
    <row r="773">
      <c r="A773" s="79"/>
      <c r="B773" s="89"/>
      <c r="C773" s="86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</row>
    <row r="774">
      <c r="A774" s="79"/>
      <c r="B774" s="89"/>
      <c r="C774" s="86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</row>
    <row r="775">
      <c r="A775" s="79"/>
      <c r="B775" s="89"/>
      <c r="C775" s="86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</row>
    <row r="776">
      <c r="A776" s="79"/>
      <c r="B776" s="89"/>
      <c r="C776" s="86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</row>
    <row r="777">
      <c r="A777" s="79"/>
      <c r="B777" s="89"/>
      <c r="C777" s="86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</row>
    <row r="778">
      <c r="A778" s="79"/>
      <c r="B778" s="89"/>
      <c r="C778" s="86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</row>
    <row r="779">
      <c r="A779" s="79"/>
      <c r="B779" s="89"/>
      <c r="C779" s="86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</row>
    <row r="780">
      <c r="A780" s="79"/>
      <c r="B780" s="89"/>
      <c r="C780" s="86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</row>
    <row r="781">
      <c r="A781" s="79"/>
      <c r="B781" s="89"/>
      <c r="C781" s="86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</row>
    <row r="782">
      <c r="A782" s="79"/>
      <c r="B782" s="89"/>
      <c r="C782" s="86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</row>
    <row r="783">
      <c r="A783" s="79"/>
      <c r="B783" s="89"/>
      <c r="C783" s="86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</row>
    <row r="784">
      <c r="A784" s="79"/>
      <c r="B784" s="89"/>
      <c r="C784" s="86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</row>
    <row r="785">
      <c r="A785" s="79"/>
      <c r="B785" s="89"/>
      <c r="C785" s="86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</row>
    <row r="786">
      <c r="A786" s="79"/>
      <c r="B786" s="89"/>
      <c r="C786" s="86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</row>
    <row r="787">
      <c r="A787" s="79"/>
      <c r="B787" s="89"/>
      <c r="C787" s="86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</row>
    <row r="788">
      <c r="A788" s="79"/>
      <c r="B788" s="89"/>
      <c r="C788" s="86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</row>
    <row r="789">
      <c r="A789" s="79"/>
      <c r="B789" s="89"/>
      <c r="C789" s="86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</row>
    <row r="790">
      <c r="A790" s="79"/>
      <c r="B790" s="89"/>
      <c r="C790" s="86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</row>
    <row r="791">
      <c r="A791" s="79"/>
      <c r="B791" s="89"/>
      <c r="C791" s="86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</row>
    <row r="792">
      <c r="A792" s="79"/>
      <c r="B792" s="89"/>
      <c r="C792" s="86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</row>
    <row r="793">
      <c r="A793" s="79"/>
      <c r="B793" s="89"/>
      <c r="C793" s="86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</row>
    <row r="794">
      <c r="A794" s="79"/>
      <c r="B794" s="89"/>
      <c r="C794" s="86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</row>
    <row r="795">
      <c r="A795" s="79"/>
      <c r="B795" s="89"/>
      <c r="C795" s="86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</row>
    <row r="796">
      <c r="A796" s="79"/>
      <c r="B796" s="89"/>
      <c r="C796" s="86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</row>
    <row r="797">
      <c r="A797" s="79"/>
      <c r="B797" s="89"/>
      <c r="C797" s="86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</row>
    <row r="798">
      <c r="A798" s="79"/>
      <c r="B798" s="89"/>
      <c r="C798" s="86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</row>
    <row r="799">
      <c r="A799" s="79"/>
      <c r="B799" s="89"/>
      <c r="C799" s="86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</row>
    <row r="800">
      <c r="A800" s="79"/>
      <c r="B800" s="89"/>
      <c r="C800" s="86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</row>
    <row r="801">
      <c r="A801" s="79"/>
      <c r="B801" s="89"/>
      <c r="C801" s="86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</row>
    <row r="802">
      <c r="A802" s="79"/>
      <c r="B802" s="89"/>
      <c r="C802" s="86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</row>
    <row r="803">
      <c r="A803" s="79"/>
      <c r="B803" s="89"/>
      <c r="C803" s="86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</row>
    <row r="804">
      <c r="A804" s="79"/>
      <c r="B804" s="89"/>
      <c r="C804" s="86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</row>
    <row r="805">
      <c r="A805" s="79"/>
      <c r="B805" s="89"/>
      <c r="C805" s="86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</row>
    <row r="806">
      <c r="A806" s="79"/>
      <c r="B806" s="89"/>
      <c r="C806" s="86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</row>
    <row r="807">
      <c r="A807" s="79"/>
      <c r="B807" s="89"/>
      <c r="C807" s="86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</row>
    <row r="808">
      <c r="A808" s="79"/>
      <c r="B808" s="89"/>
      <c r="C808" s="86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</row>
    <row r="809">
      <c r="A809" s="79"/>
      <c r="B809" s="89"/>
      <c r="C809" s="86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</row>
    <row r="810">
      <c r="A810" s="79"/>
      <c r="B810" s="89"/>
      <c r="C810" s="86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</row>
    <row r="811">
      <c r="A811" s="79"/>
      <c r="B811" s="89"/>
      <c r="C811" s="86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</row>
    <row r="812">
      <c r="A812" s="79"/>
      <c r="B812" s="89"/>
      <c r="C812" s="86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</row>
    <row r="813">
      <c r="A813" s="79"/>
      <c r="B813" s="89"/>
      <c r="C813" s="86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</row>
    <row r="814">
      <c r="A814" s="79"/>
      <c r="B814" s="89"/>
      <c r="C814" s="86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</row>
    <row r="815">
      <c r="A815" s="79"/>
      <c r="B815" s="89"/>
      <c r="C815" s="86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</row>
    <row r="816">
      <c r="A816" s="79"/>
      <c r="B816" s="89"/>
      <c r="C816" s="86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</row>
    <row r="817">
      <c r="A817" s="79"/>
      <c r="B817" s="89"/>
      <c r="C817" s="86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</row>
    <row r="818">
      <c r="A818" s="79"/>
      <c r="B818" s="89"/>
      <c r="C818" s="86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</row>
    <row r="819">
      <c r="A819" s="79"/>
      <c r="B819" s="89"/>
      <c r="C819" s="86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</row>
    <row r="820">
      <c r="A820" s="79"/>
      <c r="B820" s="89"/>
      <c r="C820" s="86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</row>
    <row r="821">
      <c r="A821" s="79"/>
      <c r="B821" s="89"/>
      <c r="C821" s="86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</row>
    <row r="822">
      <c r="A822" s="79"/>
      <c r="B822" s="89"/>
      <c r="C822" s="86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</row>
    <row r="823">
      <c r="A823" s="79"/>
      <c r="B823" s="89"/>
      <c r="C823" s="86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</row>
    <row r="824">
      <c r="A824" s="79"/>
      <c r="B824" s="89"/>
      <c r="C824" s="86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</row>
    <row r="825">
      <c r="A825" s="79"/>
      <c r="B825" s="89"/>
      <c r="C825" s="86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</row>
    <row r="826">
      <c r="A826" s="79"/>
      <c r="B826" s="89"/>
      <c r="C826" s="86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</row>
    <row r="827">
      <c r="A827" s="79"/>
      <c r="B827" s="89"/>
      <c r="C827" s="86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</row>
    <row r="828">
      <c r="A828" s="79"/>
      <c r="B828" s="89"/>
      <c r="C828" s="86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</row>
    <row r="829">
      <c r="A829" s="79"/>
      <c r="B829" s="89"/>
      <c r="C829" s="86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</row>
    <row r="830">
      <c r="A830" s="79"/>
      <c r="B830" s="89"/>
      <c r="C830" s="86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</row>
    <row r="831">
      <c r="A831" s="79"/>
      <c r="B831" s="89"/>
      <c r="C831" s="86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</row>
    <row r="832">
      <c r="A832" s="79"/>
      <c r="B832" s="89"/>
      <c r="C832" s="86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</row>
    <row r="833">
      <c r="A833" s="79"/>
      <c r="B833" s="89"/>
      <c r="C833" s="86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</row>
    <row r="834">
      <c r="A834" s="79"/>
      <c r="B834" s="89"/>
      <c r="C834" s="86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</row>
    <row r="835">
      <c r="A835" s="79"/>
      <c r="B835" s="89"/>
      <c r="C835" s="86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</row>
    <row r="836">
      <c r="A836" s="79"/>
      <c r="B836" s="89"/>
      <c r="C836" s="86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</row>
    <row r="837">
      <c r="A837" s="79"/>
      <c r="B837" s="89"/>
      <c r="C837" s="86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</row>
    <row r="838">
      <c r="A838" s="79"/>
      <c r="B838" s="89"/>
      <c r="C838" s="86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</row>
    <row r="839">
      <c r="A839" s="79"/>
      <c r="B839" s="89"/>
      <c r="C839" s="86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</row>
    <row r="840">
      <c r="A840" s="79"/>
      <c r="B840" s="89"/>
      <c r="C840" s="86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</row>
    <row r="841">
      <c r="A841" s="79"/>
      <c r="B841" s="89"/>
      <c r="C841" s="86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</row>
    <row r="842">
      <c r="A842" s="79"/>
      <c r="B842" s="89"/>
      <c r="C842" s="86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</row>
    <row r="843">
      <c r="A843" s="79"/>
      <c r="B843" s="89"/>
      <c r="C843" s="86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</row>
    <row r="844">
      <c r="A844" s="79"/>
      <c r="B844" s="89"/>
      <c r="C844" s="86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</row>
    <row r="845">
      <c r="A845" s="79"/>
      <c r="B845" s="89"/>
      <c r="C845" s="86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</row>
    <row r="846">
      <c r="A846" s="79"/>
      <c r="B846" s="89"/>
      <c r="C846" s="86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</row>
    <row r="847">
      <c r="A847" s="79"/>
      <c r="B847" s="89"/>
      <c r="C847" s="86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</row>
    <row r="848">
      <c r="A848" s="79"/>
      <c r="B848" s="89"/>
      <c r="C848" s="86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</row>
    <row r="849">
      <c r="A849" s="79"/>
      <c r="B849" s="89"/>
      <c r="C849" s="86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</row>
    <row r="850">
      <c r="A850" s="79"/>
      <c r="B850" s="89"/>
      <c r="C850" s="86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</row>
    <row r="851">
      <c r="A851" s="79"/>
      <c r="B851" s="89"/>
      <c r="C851" s="86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</row>
    <row r="852">
      <c r="A852" s="79"/>
      <c r="B852" s="89"/>
      <c r="C852" s="86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</row>
    <row r="853">
      <c r="A853" s="79"/>
      <c r="B853" s="89"/>
      <c r="C853" s="86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</row>
    <row r="854">
      <c r="A854" s="79"/>
      <c r="B854" s="89"/>
      <c r="C854" s="86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</row>
    <row r="855">
      <c r="A855" s="79"/>
      <c r="B855" s="89"/>
      <c r="C855" s="86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</row>
    <row r="856">
      <c r="A856" s="79"/>
      <c r="B856" s="89"/>
      <c r="C856" s="86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</row>
    <row r="857">
      <c r="A857" s="79"/>
      <c r="B857" s="89"/>
      <c r="C857" s="86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</row>
    <row r="858">
      <c r="A858" s="79"/>
      <c r="B858" s="89"/>
      <c r="C858" s="86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</row>
    <row r="859">
      <c r="A859" s="79"/>
      <c r="B859" s="89"/>
      <c r="C859" s="86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</row>
    <row r="860">
      <c r="A860" s="79"/>
      <c r="B860" s="89"/>
      <c r="C860" s="86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</row>
    <row r="861">
      <c r="A861" s="79"/>
      <c r="B861" s="89"/>
      <c r="C861" s="86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</row>
    <row r="862">
      <c r="A862" s="79"/>
      <c r="B862" s="89"/>
      <c r="C862" s="86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</row>
    <row r="863">
      <c r="A863" s="79"/>
      <c r="B863" s="89"/>
      <c r="C863" s="86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</row>
    <row r="864">
      <c r="A864" s="79"/>
      <c r="B864" s="89"/>
      <c r="C864" s="86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</row>
    <row r="865">
      <c r="A865" s="79"/>
      <c r="B865" s="89"/>
      <c r="C865" s="86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</row>
    <row r="866">
      <c r="A866" s="79"/>
      <c r="B866" s="89"/>
      <c r="C866" s="86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</row>
    <row r="867">
      <c r="A867" s="79"/>
      <c r="B867" s="89"/>
      <c r="C867" s="86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</row>
    <row r="868">
      <c r="A868" s="79"/>
      <c r="B868" s="89"/>
      <c r="C868" s="86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</row>
    <row r="869">
      <c r="A869" s="79"/>
      <c r="B869" s="89"/>
      <c r="C869" s="86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</row>
    <row r="870">
      <c r="A870" s="79"/>
      <c r="B870" s="89"/>
      <c r="C870" s="86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</row>
    <row r="871">
      <c r="A871" s="79"/>
      <c r="B871" s="89"/>
      <c r="C871" s="86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</row>
    <row r="872">
      <c r="A872" s="79"/>
      <c r="B872" s="89"/>
      <c r="C872" s="86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</row>
    <row r="873">
      <c r="A873" s="79"/>
      <c r="B873" s="89"/>
      <c r="C873" s="86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</row>
    <row r="874">
      <c r="A874" s="79"/>
      <c r="B874" s="89"/>
      <c r="C874" s="86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</row>
    <row r="875">
      <c r="A875" s="79"/>
      <c r="B875" s="89"/>
      <c r="C875" s="86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</row>
    <row r="876">
      <c r="A876" s="79"/>
      <c r="B876" s="89"/>
      <c r="C876" s="86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</row>
    <row r="877">
      <c r="A877" s="79"/>
      <c r="B877" s="89"/>
      <c r="C877" s="86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</row>
    <row r="878">
      <c r="A878" s="79"/>
      <c r="B878" s="89"/>
      <c r="C878" s="86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</row>
    <row r="879">
      <c r="A879" s="79"/>
      <c r="B879" s="89"/>
      <c r="C879" s="86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</row>
    <row r="880">
      <c r="A880" s="79"/>
      <c r="B880" s="89"/>
      <c r="C880" s="86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</row>
    <row r="881">
      <c r="A881" s="79"/>
      <c r="B881" s="89"/>
      <c r="C881" s="86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</row>
    <row r="882">
      <c r="A882" s="79"/>
      <c r="B882" s="89"/>
      <c r="C882" s="86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</row>
    <row r="883">
      <c r="A883" s="79"/>
      <c r="B883" s="89"/>
      <c r="C883" s="86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</row>
    <row r="884">
      <c r="A884" s="79"/>
      <c r="B884" s="89"/>
      <c r="C884" s="86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</row>
    <row r="885">
      <c r="A885" s="79"/>
      <c r="B885" s="89"/>
      <c r="C885" s="86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</row>
    <row r="886">
      <c r="A886" s="79"/>
      <c r="B886" s="89"/>
      <c r="C886" s="86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</row>
    <row r="887">
      <c r="A887" s="79"/>
      <c r="B887" s="89"/>
      <c r="C887" s="86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</row>
    <row r="888">
      <c r="A888" s="79"/>
      <c r="B888" s="89"/>
      <c r="C888" s="86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</row>
    <row r="889">
      <c r="A889" s="79"/>
      <c r="B889" s="89"/>
      <c r="C889" s="86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</row>
    <row r="890">
      <c r="A890" s="79"/>
      <c r="B890" s="89"/>
      <c r="C890" s="86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</row>
    <row r="891">
      <c r="A891" s="79"/>
      <c r="B891" s="89"/>
      <c r="C891" s="86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</row>
    <row r="892">
      <c r="A892" s="79"/>
      <c r="B892" s="89"/>
      <c r="C892" s="86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</row>
    <row r="893">
      <c r="A893" s="79"/>
      <c r="B893" s="89"/>
      <c r="C893" s="86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</row>
    <row r="894">
      <c r="A894" s="79"/>
      <c r="B894" s="89"/>
      <c r="C894" s="86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</row>
    <row r="895">
      <c r="A895" s="79"/>
      <c r="B895" s="89"/>
      <c r="C895" s="86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</row>
    <row r="896">
      <c r="A896" s="79"/>
      <c r="B896" s="89"/>
      <c r="C896" s="86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</row>
    <row r="897">
      <c r="A897" s="79"/>
      <c r="B897" s="89"/>
      <c r="C897" s="86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</row>
    <row r="898">
      <c r="A898" s="79"/>
      <c r="B898" s="89"/>
      <c r="C898" s="86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</row>
    <row r="899">
      <c r="A899" s="79"/>
      <c r="B899" s="89"/>
      <c r="C899" s="86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</row>
    <row r="900">
      <c r="A900" s="79"/>
      <c r="B900" s="89"/>
      <c r="C900" s="86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</row>
    <row r="901">
      <c r="A901" s="79"/>
      <c r="B901" s="89"/>
      <c r="C901" s="86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</row>
    <row r="902">
      <c r="A902" s="79"/>
      <c r="B902" s="89"/>
      <c r="C902" s="86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</row>
    <row r="903">
      <c r="A903" s="79"/>
      <c r="B903" s="89"/>
      <c r="C903" s="86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</row>
    <row r="904">
      <c r="A904" s="79"/>
      <c r="B904" s="89"/>
      <c r="C904" s="86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</row>
    <row r="905">
      <c r="A905" s="79"/>
      <c r="B905" s="89"/>
      <c r="C905" s="86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</row>
    <row r="906">
      <c r="A906" s="79"/>
      <c r="B906" s="89"/>
      <c r="C906" s="86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</row>
    <row r="907">
      <c r="A907" s="79"/>
      <c r="B907" s="89"/>
      <c r="C907" s="86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</row>
    <row r="908">
      <c r="A908" s="79"/>
      <c r="B908" s="89"/>
      <c r="C908" s="86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</row>
    <row r="909">
      <c r="A909" s="79"/>
      <c r="B909" s="89"/>
      <c r="C909" s="86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</row>
    <row r="910">
      <c r="A910" s="79"/>
      <c r="B910" s="89"/>
      <c r="C910" s="86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</row>
    <row r="911">
      <c r="A911" s="79"/>
      <c r="B911" s="89"/>
      <c r="C911" s="86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</row>
    <row r="912">
      <c r="A912" s="79"/>
      <c r="B912" s="89"/>
      <c r="C912" s="86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</row>
    <row r="913">
      <c r="A913" s="79"/>
      <c r="B913" s="89"/>
      <c r="C913" s="86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</row>
    <row r="914">
      <c r="A914" s="79"/>
      <c r="B914" s="89"/>
      <c r="C914" s="86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</row>
    <row r="915">
      <c r="A915" s="79"/>
      <c r="B915" s="89"/>
      <c r="C915" s="86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</row>
    <row r="916">
      <c r="A916" s="79"/>
      <c r="B916" s="89"/>
      <c r="C916" s="86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</row>
    <row r="917">
      <c r="A917" s="79"/>
      <c r="B917" s="89"/>
      <c r="C917" s="86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</row>
    <row r="918">
      <c r="A918" s="79"/>
      <c r="B918" s="89"/>
      <c r="C918" s="86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</row>
    <row r="919">
      <c r="A919" s="79"/>
      <c r="B919" s="89"/>
      <c r="C919" s="86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</row>
    <row r="920">
      <c r="A920" s="79"/>
      <c r="B920" s="89"/>
      <c r="C920" s="86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</row>
    <row r="921">
      <c r="A921" s="79"/>
      <c r="B921" s="89"/>
      <c r="C921" s="86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</row>
    <row r="922">
      <c r="A922" s="79"/>
      <c r="B922" s="89"/>
      <c r="C922" s="86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</row>
    <row r="923">
      <c r="A923" s="79"/>
      <c r="B923" s="89"/>
      <c r="C923" s="86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</row>
    <row r="924">
      <c r="A924" s="79"/>
      <c r="B924" s="89"/>
      <c r="C924" s="86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</row>
    <row r="925">
      <c r="A925" s="79"/>
      <c r="B925" s="89"/>
      <c r="C925" s="86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</row>
    <row r="926">
      <c r="A926" s="79"/>
      <c r="B926" s="89"/>
      <c r="C926" s="86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</row>
    <row r="927">
      <c r="A927" s="79"/>
      <c r="B927" s="89"/>
      <c r="C927" s="86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</row>
    <row r="928">
      <c r="A928" s="79"/>
      <c r="B928" s="89"/>
      <c r="C928" s="86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</row>
    <row r="929">
      <c r="A929" s="79"/>
      <c r="B929" s="89"/>
      <c r="C929" s="86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</row>
    <row r="930">
      <c r="A930" s="79"/>
      <c r="B930" s="89"/>
      <c r="C930" s="86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</row>
    <row r="931">
      <c r="A931" s="79"/>
      <c r="B931" s="89"/>
      <c r="C931" s="86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</row>
    <row r="932">
      <c r="A932" s="79"/>
      <c r="B932" s="89"/>
      <c r="C932" s="86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</row>
    <row r="933">
      <c r="A933" s="79"/>
      <c r="B933" s="89"/>
      <c r="C933" s="86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</row>
    <row r="934">
      <c r="A934" s="79"/>
      <c r="B934" s="89"/>
      <c r="C934" s="86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</row>
    <row r="935">
      <c r="A935" s="79"/>
      <c r="B935" s="89"/>
      <c r="C935" s="86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</row>
    <row r="936">
      <c r="A936" s="79"/>
      <c r="B936" s="89"/>
      <c r="C936" s="86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</row>
    <row r="937">
      <c r="A937" s="79"/>
      <c r="B937" s="89"/>
      <c r="C937" s="86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</row>
    <row r="938">
      <c r="A938" s="79"/>
      <c r="B938" s="89"/>
      <c r="C938" s="86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</row>
    <row r="939">
      <c r="A939" s="79"/>
      <c r="B939" s="89"/>
      <c r="C939" s="86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</row>
    <row r="940">
      <c r="A940" s="79"/>
      <c r="B940" s="89"/>
      <c r="C940" s="86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</row>
    <row r="941">
      <c r="A941" s="79"/>
      <c r="B941" s="89"/>
      <c r="C941" s="86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</row>
    <row r="942">
      <c r="A942" s="79"/>
      <c r="B942" s="89"/>
      <c r="C942" s="86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</row>
    <row r="943">
      <c r="A943" s="79"/>
      <c r="B943" s="89"/>
      <c r="C943" s="86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</row>
    <row r="944">
      <c r="A944" s="79"/>
      <c r="B944" s="89"/>
      <c r="C944" s="86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</row>
    <row r="945">
      <c r="A945" s="79"/>
      <c r="B945" s="89"/>
      <c r="C945" s="86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</row>
    <row r="946">
      <c r="A946" s="79"/>
      <c r="B946" s="89"/>
      <c r="C946" s="86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</row>
    <row r="947">
      <c r="A947" s="79"/>
      <c r="B947" s="89"/>
      <c r="C947" s="86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</row>
    <row r="948">
      <c r="A948" s="79"/>
      <c r="B948" s="89"/>
      <c r="C948" s="86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</row>
    <row r="949">
      <c r="A949" s="79"/>
      <c r="B949" s="89"/>
      <c r="C949" s="86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</row>
    <row r="950">
      <c r="A950" s="79"/>
      <c r="B950" s="89"/>
      <c r="C950" s="86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</row>
    <row r="951">
      <c r="A951" s="79"/>
      <c r="B951" s="89"/>
      <c r="C951" s="86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</row>
    <row r="952">
      <c r="A952" s="79"/>
      <c r="B952" s="89"/>
      <c r="C952" s="86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</row>
    <row r="953">
      <c r="A953" s="79"/>
      <c r="B953" s="89"/>
      <c r="C953" s="86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</row>
    <row r="954">
      <c r="A954" s="79"/>
      <c r="B954" s="89"/>
      <c r="C954" s="86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</row>
    <row r="955">
      <c r="A955" s="79"/>
      <c r="B955" s="89"/>
      <c r="C955" s="86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</row>
    <row r="956">
      <c r="A956" s="79"/>
      <c r="B956" s="89"/>
      <c r="C956" s="86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</row>
    <row r="957">
      <c r="A957" s="79"/>
      <c r="B957" s="89"/>
      <c r="C957" s="86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</row>
    <row r="958">
      <c r="A958" s="79"/>
      <c r="B958" s="89"/>
      <c r="C958" s="86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</row>
    <row r="959">
      <c r="A959" s="79"/>
      <c r="B959" s="89"/>
      <c r="C959" s="86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</row>
    <row r="960">
      <c r="A960" s="79"/>
      <c r="B960" s="89"/>
      <c r="C960" s="86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</row>
    <row r="961">
      <c r="A961" s="79"/>
      <c r="B961" s="89"/>
      <c r="C961" s="86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</row>
    <row r="962">
      <c r="A962" s="79"/>
      <c r="B962" s="89"/>
      <c r="C962" s="86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</row>
    <row r="963">
      <c r="A963" s="79"/>
      <c r="B963" s="89"/>
      <c r="C963" s="86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</row>
    <row r="964">
      <c r="A964" s="79"/>
      <c r="B964" s="89"/>
      <c r="C964" s="86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</row>
    <row r="965">
      <c r="A965" s="79"/>
      <c r="B965" s="89"/>
      <c r="C965" s="86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</row>
    <row r="966">
      <c r="A966" s="79"/>
      <c r="B966" s="89"/>
      <c r="C966" s="86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</row>
    <row r="967">
      <c r="A967" s="79"/>
      <c r="B967" s="89"/>
      <c r="C967" s="86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</row>
    <row r="968">
      <c r="A968" s="79"/>
      <c r="B968" s="89"/>
      <c r="C968" s="86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</row>
    <row r="969">
      <c r="A969" s="79"/>
      <c r="B969" s="89"/>
      <c r="C969" s="86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</row>
    <row r="970">
      <c r="A970" s="79"/>
      <c r="B970" s="89"/>
      <c r="C970" s="86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</row>
    <row r="971">
      <c r="A971" s="79"/>
      <c r="B971" s="89"/>
      <c r="C971" s="86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</row>
    <row r="972">
      <c r="A972" s="79"/>
      <c r="B972" s="89"/>
      <c r="C972" s="86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</row>
    <row r="973">
      <c r="A973" s="79"/>
      <c r="B973" s="89"/>
      <c r="C973" s="86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</row>
    <row r="974">
      <c r="A974" s="79"/>
      <c r="B974" s="89"/>
      <c r="C974" s="86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</row>
    <row r="975">
      <c r="A975" s="79"/>
      <c r="B975" s="89"/>
      <c r="C975" s="86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</row>
    <row r="976">
      <c r="A976" s="79"/>
      <c r="B976" s="89"/>
      <c r="C976" s="86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</row>
    <row r="977">
      <c r="A977" s="79"/>
      <c r="B977" s="89"/>
      <c r="C977" s="86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</row>
    <row r="978">
      <c r="A978" s="79"/>
      <c r="B978" s="89"/>
      <c r="C978" s="86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</row>
    <row r="979">
      <c r="A979" s="79"/>
      <c r="B979" s="89"/>
      <c r="C979" s="86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</row>
    <row r="980">
      <c r="A980" s="79"/>
      <c r="B980" s="89"/>
      <c r="C980" s="86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</row>
    <row r="981">
      <c r="A981" s="79"/>
      <c r="B981" s="89"/>
      <c r="C981" s="86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</row>
    <row r="982">
      <c r="A982" s="79"/>
      <c r="B982" s="89"/>
      <c r="C982" s="86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</row>
    <row r="983">
      <c r="A983" s="79"/>
      <c r="B983" s="89"/>
      <c r="C983" s="86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</row>
    <row r="984">
      <c r="A984" s="79"/>
      <c r="B984" s="89"/>
      <c r="C984" s="86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</row>
    <row r="985">
      <c r="A985" s="79"/>
      <c r="B985" s="89"/>
      <c r="C985" s="86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</row>
    <row r="986">
      <c r="A986" s="79"/>
      <c r="B986" s="89"/>
      <c r="C986" s="86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</row>
    <row r="987">
      <c r="A987" s="79"/>
      <c r="B987" s="89"/>
      <c r="C987" s="86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</row>
    <row r="988">
      <c r="A988" s="79"/>
      <c r="B988" s="89"/>
      <c r="C988" s="86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</row>
    <row r="989">
      <c r="A989" s="79"/>
      <c r="B989" s="89"/>
      <c r="C989" s="86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</row>
    <row r="990">
      <c r="A990" s="79"/>
      <c r="B990" s="89"/>
      <c r="C990" s="86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</row>
    <row r="991">
      <c r="A991" s="79"/>
      <c r="B991" s="89"/>
      <c r="C991" s="86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</row>
    <row r="992">
      <c r="A992" s="79"/>
      <c r="B992" s="89"/>
      <c r="C992" s="86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</row>
    <row r="993">
      <c r="A993" s="79"/>
      <c r="B993" s="89"/>
      <c r="C993" s="86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</row>
    <row r="994">
      <c r="A994" s="79"/>
      <c r="B994" s="89"/>
      <c r="C994" s="86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</row>
    <row r="995">
      <c r="A995" s="79"/>
      <c r="B995" s="89"/>
      <c r="C995" s="86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</row>
    <row r="996">
      <c r="A996" s="79"/>
      <c r="B996" s="89"/>
      <c r="C996" s="86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</row>
    <row r="997">
      <c r="A997" s="79"/>
      <c r="B997" s="89"/>
      <c r="C997" s="86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</row>
    <row r="998">
      <c r="A998" s="79"/>
      <c r="B998" s="89"/>
      <c r="C998" s="86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</row>
    <row r="999">
      <c r="A999" s="79"/>
      <c r="B999" s="89"/>
      <c r="C999" s="86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</row>
  </sheetData>
  <mergeCells count="1">
    <mergeCell ref="A1:D1"/>
  </mergeCells>
  <drawing r:id="rId1"/>
</worksheet>
</file>